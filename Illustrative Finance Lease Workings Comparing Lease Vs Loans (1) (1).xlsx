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71E37EFC-B226-43ED-9A12-B9398D94BD2D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Input Guidlines" sheetId="1" r:id="rId1"/>
    <sheet name="Summary" sheetId="2" r:id="rId2"/>
    <sheet name="3 Year RV @ 10% FL" sheetId="3" r:id="rId3"/>
    <sheet name="4 Year RV @ 5% FL" sheetId="4" r:id="rId4"/>
    <sheet name="5 Year  RV @ 1% FL" sheetId="5" r:id="rId5"/>
    <sheet name="Comparision Lease Vs Loan Tax I" sheetId="6" r:id="rId6"/>
    <sheet name="New Tax Workings Overview" sheetId="7" r:id="rId7"/>
    <sheet name="Allowance &amp; Eligible Car Value" sheetId="8" state="hidden" r:id="rId8"/>
  </sheets>
  <externalReferences>
    <externalReference r:id="rId9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8" i="2" l="1"/>
  <c r="K8" i="2"/>
  <c r="J8" i="2"/>
  <c r="I8" i="2"/>
  <c r="H8" i="2"/>
  <c r="G8" i="2"/>
  <c r="D14" i="2"/>
  <c r="D17" i="2"/>
  <c r="D11" i="2"/>
  <c r="D7" i="2"/>
  <c r="H15" i="7"/>
  <c r="C15" i="7"/>
  <c r="H14" i="7"/>
  <c r="C14" i="7"/>
  <c r="H13" i="7"/>
  <c r="C13" i="7"/>
  <c r="H12" i="7"/>
  <c r="C12" i="7"/>
  <c r="H11" i="7"/>
  <c r="C11" i="7"/>
  <c r="H10" i="7"/>
  <c r="C10" i="7"/>
  <c r="H9" i="7"/>
  <c r="C9" i="7"/>
  <c r="H8" i="7"/>
  <c r="C8" i="7"/>
  <c r="H7" i="7"/>
  <c r="C7" i="7"/>
  <c r="I6" i="7"/>
  <c r="D6" i="7"/>
  <c r="S13" i="6"/>
  <c r="R13" i="6"/>
  <c r="Q13" i="6"/>
  <c r="H10" i="6"/>
  <c r="F9" i="6"/>
  <c r="F10" i="6" s="1"/>
  <c r="F11" i="6" s="1"/>
  <c r="F12" i="6" s="1"/>
  <c r="F13" i="6" s="1"/>
  <c r="F14" i="6" s="1"/>
  <c r="F15" i="6" s="1"/>
  <c r="F16" i="6" s="1"/>
  <c r="K7" i="6"/>
  <c r="D7" i="6"/>
  <c r="D6" i="6"/>
  <c r="H6" i="6" s="1"/>
  <c r="D5" i="6"/>
  <c r="H4" i="6"/>
  <c r="G1" i="6"/>
  <c r="G19" i="5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I7" i="5"/>
  <c r="D7" i="5"/>
  <c r="D4" i="5" s="1"/>
  <c r="D6" i="5"/>
  <c r="I6" i="5" s="1"/>
  <c r="I5" i="5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B19" i="4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I7" i="4"/>
  <c r="D7" i="4"/>
  <c r="D4" i="4" s="1"/>
  <c r="D6" i="4"/>
  <c r="I5" i="4"/>
  <c r="G19" i="3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I7" i="3"/>
  <c r="D7" i="3"/>
  <c r="D4" i="3" s="1"/>
  <c r="D6" i="3"/>
  <c r="I6" i="3" s="1"/>
  <c r="I5" i="3"/>
  <c r="D8" i="2"/>
  <c r="D16" i="4" l="1"/>
  <c r="D16" i="5"/>
  <c r="D16" i="3"/>
  <c r="D18" i="2"/>
  <c r="D12" i="2"/>
  <c r="D13" i="2" s="1"/>
  <c r="D8" i="6"/>
  <c r="H5" i="6"/>
  <c r="D19" i="2" l="1"/>
  <c r="H11" i="6"/>
  <c r="D11" i="6"/>
  <c r="C3" i="7" s="1"/>
  <c r="K10" i="6"/>
  <c r="I4" i="5"/>
  <c r="I8" i="5" s="1"/>
  <c r="I18" i="5" s="1"/>
  <c r="I4" i="4"/>
  <c r="I8" i="4" s="1"/>
  <c r="I18" i="4" s="1"/>
  <c r="I4" i="3"/>
  <c r="I8" i="3" s="1"/>
  <c r="I18" i="3" s="1"/>
  <c r="D9" i="5" l="1"/>
  <c r="D9" i="4"/>
  <c r="D9" i="3"/>
  <c r="I19" i="3"/>
  <c r="G20" i="2"/>
  <c r="H20" i="2" s="1"/>
  <c r="K20" i="2" s="1"/>
  <c r="I19" i="4"/>
  <c r="I19" i="5"/>
  <c r="G22" i="2"/>
  <c r="H22" i="2" s="1"/>
  <c r="K22" i="2" s="1"/>
  <c r="Q15" i="6"/>
  <c r="Q17" i="6" s="1"/>
  <c r="K11" i="6"/>
  <c r="D15" i="6" s="1"/>
  <c r="D19" i="7"/>
  <c r="D20" i="7" s="1"/>
  <c r="D17" i="7"/>
  <c r="D15" i="7"/>
  <c r="D14" i="7"/>
  <c r="D13" i="7"/>
  <c r="D12" i="7"/>
  <c r="D11" i="7"/>
  <c r="D10" i="7"/>
  <c r="D9" i="7"/>
  <c r="D8" i="7"/>
  <c r="D7" i="7"/>
  <c r="D18" i="7" l="1"/>
  <c r="D21" i="7" s="1"/>
  <c r="D12" i="6" s="1"/>
  <c r="I20" i="5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/>
  <c r="I13" i="5" s="1"/>
  <c r="I20" i="4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20" i="3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/>
  <c r="I13" i="3" s="1"/>
  <c r="C55" i="3"/>
  <c r="C18" i="3"/>
  <c r="C67" i="4"/>
  <c r="C18" i="4"/>
  <c r="C79" i="5"/>
  <c r="C18" i="5"/>
  <c r="C19" i="5" l="1"/>
  <c r="D18" i="5"/>
  <c r="D79" i="5"/>
  <c r="E79" i="5" s="1"/>
  <c r="I16" i="2" s="1"/>
  <c r="C19" i="4"/>
  <c r="D18" i="4"/>
  <c r="D67" i="4"/>
  <c r="E67" i="4" s="1"/>
  <c r="I15" i="2" s="1"/>
  <c r="C19" i="3"/>
  <c r="D18" i="3"/>
  <c r="D55" i="3"/>
  <c r="E55" i="3" s="1"/>
  <c r="I14" i="2" s="1"/>
  <c r="I49" i="4"/>
  <c r="G21" i="2"/>
  <c r="H21" i="2" s="1"/>
  <c r="K21" i="2" s="1"/>
  <c r="D14" i="6"/>
  <c r="D13" i="6"/>
  <c r="D16" i="6" s="1"/>
  <c r="I50" i="4" l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/>
  <c r="I13" i="4" s="1"/>
  <c r="E18" i="3"/>
  <c r="G14" i="2" s="1"/>
  <c r="H14" i="2" s="1"/>
  <c r="C20" i="3"/>
  <c r="D19" i="3"/>
  <c r="E18" i="4"/>
  <c r="C20" i="4"/>
  <c r="D19" i="4"/>
  <c r="E18" i="5"/>
  <c r="C20" i="5"/>
  <c r="D19" i="5"/>
  <c r="E19" i="5" l="1"/>
  <c r="C21" i="5"/>
  <c r="D20" i="5"/>
  <c r="G16" i="2"/>
  <c r="E19" i="4"/>
  <c r="C21" i="4"/>
  <c r="D20" i="4"/>
  <c r="G15" i="2"/>
  <c r="H15" i="2" s="1"/>
  <c r="E19" i="3"/>
  <c r="C21" i="3"/>
  <c r="D20" i="3"/>
  <c r="E20" i="3" l="1"/>
  <c r="C22" i="3"/>
  <c r="D21" i="3"/>
  <c r="E20" i="4"/>
  <c r="C22" i="4"/>
  <c r="D21" i="4"/>
  <c r="K9" i="6"/>
  <c r="H16" i="2"/>
  <c r="E20" i="5"/>
  <c r="C22" i="5"/>
  <c r="D21" i="5"/>
  <c r="E21" i="5" l="1"/>
  <c r="C23" i="5"/>
  <c r="D22" i="5"/>
  <c r="Q16" i="6"/>
  <c r="R15" i="6" s="1"/>
  <c r="H7" i="6"/>
  <c r="O5" i="6"/>
  <c r="E21" i="4"/>
  <c r="C23" i="4"/>
  <c r="D22" i="4"/>
  <c r="E21" i="3"/>
  <c r="C23" i="3"/>
  <c r="D22" i="3"/>
  <c r="E22" i="3" l="1"/>
  <c r="C24" i="3"/>
  <c r="D23" i="3"/>
  <c r="E22" i="4"/>
  <c r="C24" i="4"/>
  <c r="D23" i="4"/>
  <c r="R7" i="6"/>
  <c r="Q7" i="6"/>
  <c r="R6" i="6"/>
  <c r="Q6" i="6"/>
  <c r="R5" i="6"/>
  <c r="Q5" i="6"/>
  <c r="H13" i="6"/>
  <c r="H3" i="7" s="1"/>
  <c r="H9" i="6"/>
  <c r="E22" i="5"/>
  <c r="C24" i="5"/>
  <c r="D23" i="5"/>
  <c r="E23" i="5" l="1"/>
  <c r="C25" i="5"/>
  <c r="D24" i="5"/>
  <c r="I19" i="7"/>
  <c r="I20" i="7" s="1"/>
  <c r="I17" i="7"/>
  <c r="I15" i="7"/>
  <c r="I14" i="7"/>
  <c r="I13" i="7"/>
  <c r="I12" i="7"/>
  <c r="I11" i="7"/>
  <c r="I10" i="7"/>
  <c r="I9" i="7"/>
  <c r="I8" i="7"/>
  <c r="I7" i="7"/>
  <c r="E23" i="4"/>
  <c r="C25" i="4"/>
  <c r="D24" i="4"/>
  <c r="E23" i="3"/>
  <c r="C25" i="3"/>
  <c r="D24" i="3"/>
  <c r="E24" i="3" l="1"/>
  <c r="C26" i="3"/>
  <c r="D25" i="3"/>
  <c r="E24" i="4"/>
  <c r="C26" i="4"/>
  <c r="D25" i="4"/>
  <c r="I18" i="7"/>
  <c r="I21" i="7" s="1"/>
  <c r="H14" i="6" s="1"/>
  <c r="E24" i="5"/>
  <c r="C26" i="5"/>
  <c r="D25" i="5"/>
  <c r="E25" i="5" l="1"/>
  <c r="C27" i="5"/>
  <c r="D26" i="5"/>
  <c r="H15" i="6"/>
  <c r="K17" i="6"/>
  <c r="K19" i="6" s="1"/>
  <c r="H16" i="6"/>
  <c r="H18" i="6" s="1"/>
  <c r="H19" i="6" s="1"/>
  <c r="H20" i="6" s="1"/>
  <c r="E25" i="4"/>
  <c r="C27" i="4"/>
  <c r="D26" i="4"/>
  <c r="E25" i="3"/>
  <c r="C27" i="3"/>
  <c r="D26" i="3"/>
  <c r="E26" i="3" l="1"/>
  <c r="C28" i="3"/>
  <c r="D27" i="3"/>
  <c r="E26" i="4"/>
  <c r="C28" i="4"/>
  <c r="D27" i="4"/>
  <c r="E26" i="5"/>
  <c r="C28" i="5"/>
  <c r="D27" i="5"/>
  <c r="E27" i="5" l="1"/>
  <c r="C29" i="5"/>
  <c r="D28" i="5"/>
  <c r="E27" i="4"/>
  <c r="C29" i="4"/>
  <c r="D28" i="4"/>
  <c r="E27" i="3"/>
  <c r="C29" i="3"/>
  <c r="D28" i="3"/>
  <c r="E28" i="3" l="1"/>
  <c r="C30" i="3"/>
  <c r="D29" i="3"/>
  <c r="E28" i="4"/>
  <c r="C30" i="4"/>
  <c r="D29" i="4"/>
  <c r="E28" i="5"/>
  <c r="C30" i="5"/>
  <c r="D29" i="5"/>
  <c r="E29" i="5" l="1"/>
  <c r="C31" i="5"/>
  <c r="D30" i="5"/>
  <c r="E29" i="4"/>
  <c r="C31" i="4"/>
  <c r="D30" i="4"/>
  <c r="E29" i="3"/>
  <c r="C31" i="3"/>
  <c r="D30" i="3"/>
  <c r="E30" i="3" l="1"/>
  <c r="C32" i="3"/>
  <c r="D31" i="3"/>
  <c r="E30" i="4"/>
  <c r="C32" i="4"/>
  <c r="D31" i="4"/>
  <c r="E30" i="5"/>
  <c r="C32" i="5"/>
  <c r="D31" i="5"/>
  <c r="E31" i="5" l="1"/>
  <c r="C33" i="5"/>
  <c r="D32" i="5"/>
  <c r="E31" i="4"/>
  <c r="C33" i="4"/>
  <c r="D32" i="4"/>
  <c r="E31" i="3"/>
  <c r="C33" i="3"/>
  <c r="D32" i="3"/>
  <c r="E32" i="3" l="1"/>
  <c r="C34" i="3"/>
  <c r="D33" i="3"/>
  <c r="E32" i="4"/>
  <c r="C34" i="4"/>
  <c r="D33" i="4"/>
  <c r="E32" i="5"/>
  <c r="C34" i="5"/>
  <c r="D33" i="5"/>
  <c r="E33" i="5" l="1"/>
  <c r="C35" i="5"/>
  <c r="D34" i="5"/>
  <c r="E33" i="4"/>
  <c r="C35" i="4"/>
  <c r="D34" i="4"/>
  <c r="E33" i="3"/>
  <c r="C35" i="3"/>
  <c r="D34" i="3"/>
  <c r="E34" i="3" l="1"/>
  <c r="C36" i="3"/>
  <c r="D35" i="3"/>
  <c r="E34" i="4"/>
  <c r="C36" i="4"/>
  <c r="D35" i="4"/>
  <c r="E34" i="5"/>
  <c r="C36" i="5"/>
  <c r="D35" i="5"/>
  <c r="E35" i="5" l="1"/>
  <c r="C37" i="5"/>
  <c r="D36" i="5"/>
  <c r="E35" i="4"/>
  <c r="C37" i="4"/>
  <c r="D36" i="4"/>
  <c r="E35" i="3"/>
  <c r="C37" i="3"/>
  <c r="D36" i="3"/>
  <c r="E36" i="3" l="1"/>
  <c r="C38" i="3"/>
  <c r="D37" i="3"/>
  <c r="E36" i="4"/>
  <c r="C38" i="4"/>
  <c r="D37" i="4"/>
  <c r="E36" i="5"/>
  <c r="C38" i="5"/>
  <c r="D37" i="5"/>
  <c r="E37" i="5" l="1"/>
  <c r="C39" i="5"/>
  <c r="D38" i="5"/>
  <c r="E37" i="4"/>
  <c r="C39" i="4"/>
  <c r="D38" i="4"/>
  <c r="E37" i="3"/>
  <c r="C39" i="3"/>
  <c r="D38" i="3"/>
  <c r="E38" i="3" l="1"/>
  <c r="C40" i="3"/>
  <c r="D39" i="3"/>
  <c r="E38" i="4"/>
  <c r="C40" i="4"/>
  <c r="D39" i="4"/>
  <c r="E38" i="5"/>
  <c r="C40" i="5"/>
  <c r="D39" i="5"/>
  <c r="E39" i="5" l="1"/>
  <c r="C41" i="5"/>
  <c r="D40" i="5"/>
  <c r="E39" i="4"/>
  <c r="C41" i="4"/>
  <c r="D40" i="4"/>
  <c r="E39" i="3"/>
  <c r="C41" i="3"/>
  <c r="D40" i="3"/>
  <c r="E40" i="3" l="1"/>
  <c r="C42" i="3"/>
  <c r="D41" i="3"/>
  <c r="E40" i="4"/>
  <c r="C42" i="4"/>
  <c r="D41" i="4"/>
  <c r="E40" i="5"/>
  <c r="C42" i="5"/>
  <c r="D41" i="5"/>
  <c r="E41" i="5" l="1"/>
  <c r="C43" i="5"/>
  <c r="D42" i="5"/>
  <c r="E41" i="4"/>
  <c r="C43" i="4"/>
  <c r="D42" i="4"/>
  <c r="E41" i="3"/>
  <c r="C43" i="3"/>
  <c r="D42" i="3"/>
  <c r="E42" i="3" l="1"/>
  <c r="C44" i="3"/>
  <c r="D43" i="3"/>
  <c r="E42" i="4"/>
  <c r="C44" i="4"/>
  <c r="D43" i="4"/>
  <c r="E42" i="5"/>
  <c r="C44" i="5"/>
  <c r="D43" i="5"/>
  <c r="E43" i="5" l="1"/>
  <c r="C45" i="5"/>
  <c r="D44" i="5"/>
  <c r="E43" i="4"/>
  <c r="C45" i="4"/>
  <c r="D44" i="4"/>
  <c r="E43" i="3"/>
  <c r="C45" i="3"/>
  <c r="D44" i="3"/>
  <c r="E44" i="3" l="1"/>
  <c r="C46" i="3"/>
  <c r="D45" i="3"/>
  <c r="E44" i="4"/>
  <c r="C46" i="4"/>
  <c r="D45" i="4"/>
  <c r="E44" i="5"/>
  <c r="C46" i="5"/>
  <c r="D45" i="5"/>
  <c r="E45" i="5" l="1"/>
  <c r="C47" i="5"/>
  <c r="D46" i="5"/>
  <c r="E45" i="4"/>
  <c r="C47" i="4"/>
  <c r="D46" i="4"/>
  <c r="E45" i="3"/>
  <c r="C47" i="3"/>
  <c r="D46" i="3"/>
  <c r="E46" i="3" l="1"/>
  <c r="C48" i="3"/>
  <c r="D47" i="3"/>
  <c r="E46" i="4"/>
  <c r="C48" i="4"/>
  <c r="D47" i="4"/>
  <c r="E46" i="5"/>
  <c r="C48" i="5"/>
  <c r="D47" i="5"/>
  <c r="E47" i="5" l="1"/>
  <c r="C49" i="5"/>
  <c r="D48" i="5"/>
  <c r="E47" i="4"/>
  <c r="C49" i="4"/>
  <c r="D48" i="4"/>
  <c r="E47" i="3"/>
  <c r="C49" i="3"/>
  <c r="D48" i="3"/>
  <c r="E48" i="3" l="1"/>
  <c r="C50" i="3"/>
  <c r="D49" i="3"/>
  <c r="E48" i="4"/>
  <c r="C50" i="4"/>
  <c r="D49" i="4"/>
  <c r="E48" i="5"/>
  <c r="C50" i="5"/>
  <c r="D49" i="5"/>
  <c r="E49" i="5" l="1"/>
  <c r="C51" i="5"/>
  <c r="D50" i="5"/>
  <c r="E49" i="4"/>
  <c r="C51" i="4"/>
  <c r="D50" i="4"/>
  <c r="E49" i="3"/>
  <c r="C51" i="3"/>
  <c r="D50" i="3"/>
  <c r="E50" i="3" l="1"/>
  <c r="C52" i="3"/>
  <c r="D51" i="3"/>
  <c r="E50" i="4"/>
  <c r="C52" i="4"/>
  <c r="D51" i="4"/>
  <c r="E50" i="5"/>
  <c r="C52" i="5"/>
  <c r="D51" i="5"/>
  <c r="E51" i="5" l="1"/>
  <c r="C53" i="5"/>
  <c r="D52" i="5"/>
  <c r="E51" i="4"/>
  <c r="C53" i="4"/>
  <c r="D52" i="4"/>
  <c r="E51" i="3"/>
  <c r="C53" i="3"/>
  <c r="D52" i="3"/>
  <c r="E52" i="3" l="1"/>
  <c r="D53" i="3"/>
  <c r="C54" i="3"/>
  <c r="E52" i="4"/>
  <c r="C54" i="4"/>
  <c r="D53" i="4"/>
  <c r="E52" i="5"/>
  <c r="C54" i="5"/>
  <c r="D53" i="5"/>
  <c r="E53" i="5" l="1"/>
  <c r="C55" i="5"/>
  <c r="D54" i="5"/>
  <c r="E53" i="4"/>
  <c r="C55" i="4"/>
  <c r="D54" i="4"/>
  <c r="D54" i="3"/>
  <c r="E53" i="3"/>
  <c r="E54" i="3"/>
  <c r="E56" i="3" l="1"/>
  <c r="D11" i="3" s="1"/>
  <c r="D12" i="3"/>
  <c r="J14" i="2" s="1"/>
  <c r="K14" i="2" s="1"/>
  <c r="L14" i="2" s="1"/>
  <c r="E54" i="4"/>
  <c r="C56" i="4"/>
  <c r="D55" i="4"/>
  <c r="E54" i="5"/>
  <c r="C56" i="5"/>
  <c r="D55" i="5"/>
  <c r="E55" i="5" l="1"/>
  <c r="C57" i="5"/>
  <c r="D56" i="5"/>
  <c r="E55" i="4"/>
  <c r="C57" i="4"/>
  <c r="D56" i="4"/>
  <c r="D13" i="3"/>
  <c r="F11" i="3" s="1"/>
  <c r="E56" i="4" l="1"/>
  <c r="C58" i="4"/>
  <c r="D57" i="4"/>
  <c r="E56" i="5"/>
  <c r="C58" i="5"/>
  <c r="D57" i="5"/>
  <c r="E57" i="5" l="1"/>
  <c r="C59" i="5"/>
  <c r="D58" i="5"/>
  <c r="E57" i="4"/>
  <c r="C59" i="4"/>
  <c r="D58" i="4"/>
  <c r="E58" i="4" l="1"/>
  <c r="C60" i="4"/>
  <c r="D59" i="4"/>
  <c r="E58" i="5"/>
  <c r="C60" i="5"/>
  <c r="D59" i="5"/>
  <c r="E59" i="5" l="1"/>
  <c r="C61" i="5"/>
  <c r="D60" i="5"/>
  <c r="E59" i="4"/>
  <c r="C61" i="4"/>
  <c r="D60" i="4"/>
  <c r="E60" i="4" l="1"/>
  <c r="C62" i="4"/>
  <c r="D61" i="4"/>
  <c r="E60" i="5"/>
  <c r="C62" i="5"/>
  <c r="D61" i="5"/>
  <c r="E61" i="5" l="1"/>
  <c r="C63" i="5"/>
  <c r="D62" i="5"/>
  <c r="E61" i="4"/>
  <c r="C63" i="4"/>
  <c r="D62" i="4"/>
  <c r="E62" i="4" l="1"/>
  <c r="C64" i="4"/>
  <c r="D63" i="4"/>
  <c r="E62" i="5"/>
  <c r="C64" i="5"/>
  <c r="D63" i="5"/>
  <c r="E63" i="5" l="1"/>
  <c r="C65" i="5"/>
  <c r="D64" i="5"/>
  <c r="E63" i="4"/>
  <c r="C65" i="4"/>
  <c r="D64" i="4"/>
  <c r="E64" i="4" l="1"/>
  <c r="D65" i="4"/>
  <c r="C66" i="4"/>
  <c r="E64" i="5"/>
  <c r="C66" i="5"/>
  <c r="D65" i="5"/>
  <c r="E65" i="5" l="1"/>
  <c r="C67" i="5"/>
  <c r="D66" i="5"/>
  <c r="D66" i="4"/>
  <c r="E65" i="4"/>
  <c r="E66" i="4"/>
  <c r="E68" i="4" l="1"/>
  <c r="D11" i="4" s="1"/>
  <c r="D12" i="4"/>
  <c r="J15" i="2" s="1"/>
  <c r="K15" i="2" s="1"/>
  <c r="L15" i="2" s="1"/>
  <c r="E66" i="5"/>
  <c r="C68" i="5"/>
  <c r="D67" i="5"/>
  <c r="E67" i="5" l="1"/>
  <c r="C69" i="5"/>
  <c r="D68" i="5"/>
  <c r="D13" i="4"/>
  <c r="E13" i="4" s="1"/>
  <c r="E68" i="5" l="1"/>
  <c r="C70" i="5"/>
  <c r="D69" i="5"/>
  <c r="E69" i="5" l="1"/>
  <c r="C71" i="5"/>
  <c r="D70" i="5"/>
  <c r="E70" i="5" l="1"/>
  <c r="C72" i="5"/>
  <c r="D71" i="5"/>
  <c r="E71" i="5" l="1"/>
  <c r="C73" i="5"/>
  <c r="D72" i="5"/>
  <c r="E72" i="5" l="1"/>
  <c r="C74" i="5"/>
  <c r="D73" i="5"/>
  <c r="E73" i="5" l="1"/>
  <c r="C75" i="5"/>
  <c r="D74" i="5"/>
  <c r="E74" i="5" l="1"/>
  <c r="C76" i="5"/>
  <c r="D75" i="5"/>
  <c r="E75" i="5" l="1"/>
  <c r="C77" i="5"/>
  <c r="D76" i="5"/>
  <c r="E76" i="5" l="1"/>
  <c r="D77" i="5"/>
  <c r="C78" i="5"/>
  <c r="D78" i="5" l="1"/>
  <c r="E77" i="5"/>
  <c r="E78" i="5"/>
  <c r="E80" i="5" l="1"/>
  <c r="D11" i="5" s="1"/>
  <c r="D12" i="5"/>
  <c r="J16" i="2" s="1"/>
  <c r="K16" i="2" s="1"/>
  <c r="L16" i="2" s="1"/>
  <c r="D13" i="5" l="1"/>
  <c r="F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500-000001000000}">
      <text>
        <r>
          <rPr>
            <sz val="10"/>
            <rFont val="Arial"/>
            <family val="2"/>
          </rPr>
          <t xml:space="preserve">You can input the Fixed CTC
</t>
        </r>
      </text>
    </comment>
    <comment ref="Q15" authorId="0" shapeId="0" xr:uid="{00000000-0006-0000-0500-000002000000}">
      <text>
        <r>
          <rPr>
            <sz val="10"/>
            <rFont val="Arial"/>
            <family val="2"/>
          </rPr>
          <t xml:space="preserve">You can input the Ex-showroom value of the car. 
</t>
        </r>
      </text>
    </comment>
  </commentList>
</comments>
</file>

<file path=xl/sharedStrings.xml><?xml version="1.0" encoding="utf-8"?>
<sst xmlns="http://schemas.openxmlformats.org/spreadsheetml/2006/main" count="244" uniqueCount="124">
  <si>
    <t>In Summery sheet</t>
  </si>
  <si>
    <t>Yellow Cells</t>
  </si>
  <si>
    <t>Kindly key in the input values as per Car of your choice and applicable interest rate available in the car loan offering from market.</t>
  </si>
  <si>
    <t>In Comparison Sheet</t>
  </si>
  <si>
    <t xml:space="preserve">Kindly key in the salary component values as per your Fixed CTC and salary components </t>
  </si>
  <si>
    <t>Enter Values for Cells Mentioned in Yellow Only</t>
  </si>
  <si>
    <t xml:space="preserve">Lease workings </t>
  </si>
  <si>
    <t>Car Cost Details</t>
  </si>
  <si>
    <t>Particulars</t>
  </si>
  <si>
    <t>Amt (in INR)</t>
  </si>
  <si>
    <t>Lease Tenure in years</t>
  </si>
  <si>
    <t>Basic Price</t>
  </si>
  <si>
    <t>Rate of GST</t>
  </si>
  <si>
    <t>GST</t>
  </si>
  <si>
    <t xml:space="preserve">Lease Rental (pmpl) Finance Lease </t>
  </si>
  <si>
    <t>Ex-Showroom Price</t>
  </si>
  <si>
    <t>Residual value</t>
  </si>
  <si>
    <t>Discount</t>
  </si>
  <si>
    <t>Discounted Ex Showroom</t>
  </si>
  <si>
    <t>Discounted Basic Price</t>
  </si>
  <si>
    <t xml:space="preserve"> Lease Outflow for 3Yrs, 4Yrs and 5yrs</t>
  </si>
  <si>
    <t>Tenure in Months</t>
  </si>
  <si>
    <t>Monthly Lease Rental</t>
  </si>
  <si>
    <t>Total Rental</t>
  </si>
  <si>
    <t>End Sale Value</t>
  </si>
  <si>
    <t>Income Tax Savings</t>
  </si>
  <si>
    <t>Effective Lease Outflow</t>
  </si>
  <si>
    <t>Net Savings in Lease</t>
  </si>
  <si>
    <t xml:space="preserve">
Insurance (~44500)+
BH* Tentatively (35000)+
Reg Cost (14750)
Fast Tag (700)
Ext. Waranty +2 year/1 lakh Kms* (19156)
Accessories (37498)
</t>
  </si>
  <si>
    <t>Other Discount</t>
  </si>
  <si>
    <t>TCS @ 1%</t>
  </si>
  <si>
    <t>On-Road Price</t>
  </si>
  <si>
    <t xml:space="preserve">Loan Outflow </t>
  </si>
  <si>
    <t>Capitalization Cost</t>
  </si>
  <si>
    <t>Monthly EMI</t>
  </si>
  <si>
    <t>Total EMI</t>
  </si>
  <si>
    <t>Effective Loan Outflow</t>
  </si>
  <si>
    <t>Rate of GST for the Car</t>
  </si>
  <si>
    <t>Personal Income Tax</t>
  </si>
  <si>
    <t>Interest Rate for Loan</t>
  </si>
  <si>
    <t>Lease Workings</t>
  </si>
  <si>
    <t>Loan Workings</t>
  </si>
  <si>
    <t>Lease Rental (per month per lac)</t>
  </si>
  <si>
    <t>Funding Amount</t>
  </si>
  <si>
    <t>Tenure (in months)</t>
  </si>
  <si>
    <t>Personal Income Tax Rate</t>
  </si>
  <si>
    <t>Rate of GST</t>
  </si>
  <si>
    <t>Interest Rate</t>
  </si>
  <si>
    <t>End Sale Value (% of cost)</t>
  </si>
  <si>
    <t>EMI</t>
  </si>
  <si>
    <t>Capitalization Amount</t>
  </si>
  <si>
    <t>Gross Lease Outflow</t>
  </si>
  <si>
    <t>(-) Income Tax Saving</t>
  </si>
  <si>
    <t>Month</t>
  </si>
  <si>
    <t>Lease Rental</t>
  </si>
  <si>
    <t>Total Cash Outflow</t>
  </si>
  <si>
    <t>Gross Outflow</t>
  </si>
  <si>
    <t>With out car policy</t>
  </si>
  <si>
    <t>With Car policy</t>
  </si>
  <si>
    <t>S.No</t>
  </si>
  <si>
    <t>Component</t>
  </si>
  <si>
    <t>Contribution</t>
  </si>
  <si>
    <t>Fixed CTC</t>
  </si>
  <si>
    <t>Small (29%-31%)</t>
  </si>
  <si>
    <t>Big (43% - 50%)</t>
  </si>
  <si>
    <t>Basic per Annum</t>
  </si>
  <si>
    <t>Basic</t>
  </si>
  <si>
    <t>Lease rental</t>
  </si>
  <si>
    <t>Note: You can consider the total Deduction of Car Lease amount cannot exceed 25% (including car component, Driver charges, Fuel &amp; maintenance reimbursements)  of the employees 
annual Fixed CTC</t>
  </si>
  <si>
    <t>HRA per Annum</t>
  </si>
  <si>
    <t>HRA</t>
  </si>
  <si>
    <t>Tenure</t>
  </si>
  <si>
    <t>Other salary Components PA</t>
  </si>
  <si>
    <t>Car Component</t>
  </si>
  <si>
    <t>EPF</t>
  </si>
  <si>
    <t>Driver Allowance</t>
  </si>
  <si>
    <t>Balance Flexi</t>
  </si>
  <si>
    <t>Lease Rental Per Month</t>
  </si>
  <si>
    <t>Standard Deduction (new)</t>
  </si>
  <si>
    <t>Annual Taxable Perquisite</t>
  </si>
  <si>
    <t>Car Value (Ex-Showroom)</t>
  </si>
  <si>
    <t>Taxable Salary (new)</t>
  </si>
  <si>
    <t xml:space="preserve">Loan Value  </t>
  </si>
  <si>
    <t>3 Years</t>
  </si>
  <si>
    <t>4 Years</t>
  </si>
  <si>
    <t>5 Years</t>
  </si>
  <si>
    <t>Tax payable new Regime</t>
  </si>
  <si>
    <t>`</t>
  </si>
  <si>
    <t>Small</t>
  </si>
  <si>
    <t>Take home/ month new regime</t>
  </si>
  <si>
    <t>Big</t>
  </si>
  <si>
    <t>Tax per month (new)</t>
  </si>
  <si>
    <t>Car Loan EMI</t>
  </si>
  <si>
    <t>Take home/ month after car New</t>
  </si>
  <si>
    <t>Δ (Delta)</t>
  </si>
  <si>
    <t>Tax Payable (New)</t>
  </si>
  <si>
    <t>Loan Value @ 99%</t>
  </si>
  <si>
    <t>Increase in take home per month</t>
  </si>
  <si>
    <t>Increase in take home per year</t>
  </si>
  <si>
    <t>Tax per Mon (New)</t>
  </si>
  <si>
    <t>Increase in take home per tenure</t>
  </si>
  <si>
    <t>Note:  Car Perquisite value for upto 1600 CC cars Rs 1800/- per month &amp; more than 1600 CC cars Rs 2400/- per month</t>
  </si>
  <si>
    <t>Driver perquisite value if availed will be 900/- per month</t>
  </si>
  <si>
    <t>Income tax Calculator</t>
  </si>
  <si>
    <t>Taxable Salary (new) before Car Lease policy</t>
  </si>
  <si>
    <t>Taxable Salary (new) with car lease policy</t>
  </si>
  <si>
    <t>New regime</t>
  </si>
  <si>
    <t>&lt; Rs. 4 L</t>
  </si>
  <si>
    <t>Rs. 4.01 L- Rs.8 L</t>
  </si>
  <si>
    <t>Rs. 8.01 L- Rs.12 L</t>
  </si>
  <si>
    <t>Rs. 12.01 L- Rs.16 L</t>
  </si>
  <si>
    <t>Rs. 16.01 L- Rs.20 L</t>
  </si>
  <si>
    <t>Rs. 20.01 L- Rs.24 L</t>
  </si>
  <si>
    <t>&gt; Rs. 24 L</t>
  </si>
  <si>
    <t>&gt; Rs. 50 L</t>
  </si>
  <si>
    <t>&gt; Rs. 100 L</t>
  </si>
  <si>
    <t>&gt; Rs. 200 L</t>
  </si>
  <si>
    <t>Tax payable</t>
  </si>
  <si>
    <t>Cess</t>
  </si>
  <si>
    <t>Surcharge</t>
  </si>
  <si>
    <t>Total Tax</t>
  </si>
  <si>
    <t>Monthly Allowance</t>
  </si>
  <si>
    <t>Year</t>
  </si>
  <si>
    <t>Approx - Ex-Showroom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</si>
</sst>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"/>
    <numFmt numFmtId="165" formatCode="_(* #,##0.00_);_(* \(#,##0.00\);_(* \-??_);_(@_)"/>
    <numFmt numFmtId="166" formatCode="_(* #,##0_);_(* \(#,##0\);_(* \-??_);_(@_)"/>
    <numFmt numFmtId="167" formatCode="_ * #,##0_ ;_ * \-#,##0_ ;_ * \-??_ ;_ @_ "/>
  </numFmts>
  <fonts count="18">
    <font>
      <sz val="10"/>
      <name val="Arial"/>
      <family val="2"/>
      <charset val="1"/>
    </font>
    <font>
      <sz val="11"/>
      <name val="Calibri"/>
      <charset val="1"/>
    </font>
    <font>
      <b/>
      <sz val="10"/>
      <name val="Arial"/>
      <family val="2"/>
      <charset val="1"/>
    </font>
    <font>
      <b/>
      <sz val="11"/>
      <color theme="0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1"/>
      <name val="Calibri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FA7D00"/>
      <name val="Arial"/>
      <family val="2"/>
      <charset val="1"/>
    </font>
    <font>
      <b/>
      <sz val="11"/>
      <color rgb="FFFA7D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rgb="FF333399"/>
      </patternFill>
    </fill>
    <fill>
      <patternFill patternType="solid">
        <fgColor theme="2"/>
        <bgColor rgb="FFF2F2F2"/>
      </patternFill>
    </fill>
    <fill>
      <patternFill patternType="solid">
        <fgColor rgb="FF333399"/>
        <bgColor rgb="FF2F5597"/>
      </patternFill>
    </fill>
    <fill>
      <patternFill patternType="solid">
        <fgColor rgb="FFFFFFFF"/>
        <bgColor rgb="FFF2F2F2"/>
      </patternFill>
    </fill>
    <fill>
      <patternFill patternType="solid">
        <fgColor rgb="FF00FF00"/>
        <bgColor rgb="FF81D41A"/>
      </patternFill>
    </fill>
    <fill>
      <patternFill patternType="solid">
        <fgColor theme="9"/>
        <bgColor rgb="FF92D050"/>
      </patternFill>
    </fill>
    <fill>
      <patternFill patternType="solid">
        <fgColor rgb="FF81D41A"/>
        <bgColor rgb="FF92D050"/>
      </patternFill>
    </fill>
    <fill>
      <patternFill patternType="solid">
        <fgColor rgb="FF5983B0"/>
        <bgColor rgb="FF7F7F7F"/>
      </patternFill>
    </fill>
    <fill>
      <patternFill patternType="solid">
        <fgColor rgb="FFFFD7D7"/>
        <bgColor rgb="FFE7E6E6"/>
      </patternFill>
    </fill>
    <fill>
      <patternFill patternType="solid">
        <fgColor rgb="FF92D050"/>
        <bgColor rgb="FF81D41A"/>
      </patternFill>
    </fill>
    <fill>
      <patternFill patternType="solid">
        <fgColor rgb="FF333399"/>
        <bgColor rgb="FF55308D"/>
      </patternFill>
    </fill>
    <fill>
      <patternFill patternType="solid">
        <fgColor rgb="FFFFB66C"/>
        <bgColor rgb="FFFFCC00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2" borderId="1" applyProtection="0"/>
  </cellStyleXfs>
  <cellXfs count="16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3" fillId="4" borderId="2" xfId="0" applyFont="1" applyFill="1" applyBorder="1" applyAlignment="1">
      <alignment wrapText="1" readingOrder="1"/>
    </xf>
    <xf numFmtId="0" fontId="3" fillId="4" borderId="4" xfId="0" applyFont="1" applyFill="1" applyBorder="1" applyAlignment="1">
      <alignment wrapText="1" readingOrder="1"/>
    </xf>
    <xf numFmtId="0" fontId="6" fillId="7" borderId="5" xfId="0" applyFont="1" applyFill="1" applyBorder="1" applyAlignment="1">
      <alignment horizontal="center" wrapText="1" readingOrder="1"/>
    </xf>
    <xf numFmtId="0" fontId="7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3" fontId="1" fillId="3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0" borderId="8" xfId="0" applyFont="1" applyBorder="1"/>
    <xf numFmtId="9" fontId="1" fillId="3" borderId="4" xfId="0" applyNumberFormat="1" applyFont="1" applyFill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1" fillId="3" borderId="2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0" xfId="0" applyFont="1"/>
    <xf numFmtId="9" fontId="8" fillId="0" borderId="0" xfId="0" applyNumberFormat="1" applyFont="1" applyAlignment="1">
      <alignment horizontal="right"/>
    </xf>
    <xf numFmtId="164" fontId="8" fillId="0" borderId="6" xfId="0" applyNumberFormat="1" applyFont="1" applyBorder="1"/>
    <xf numFmtId="0" fontId="8" fillId="0" borderId="12" xfId="0" applyFont="1" applyBorder="1"/>
    <xf numFmtId="10" fontId="8" fillId="7" borderId="12" xfId="0" applyNumberFormat="1" applyFont="1" applyFill="1" applyBorder="1"/>
    <xf numFmtId="10" fontId="8" fillId="0" borderId="12" xfId="0" applyNumberFormat="1" applyFont="1" applyBorder="1"/>
    <xf numFmtId="0" fontId="8" fillId="0" borderId="0" xfId="0" applyFont="1" applyAlignment="1">
      <alignment horizontal="left" vertical="center"/>
    </xf>
    <xf numFmtId="9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9" fontId="0" fillId="0" borderId="12" xfId="0" applyNumberFormat="1" applyBorder="1"/>
    <xf numFmtId="10" fontId="0" fillId="0" borderId="12" xfId="0" applyNumberFormat="1" applyBorder="1"/>
    <xf numFmtId="9" fontId="8" fillId="0" borderId="0" xfId="0" applyNumberFormat="1" applyFont="1" applyAlignment="1">
      <alignment vertical="center"/>
    </xf>
    <xf numFmtId="9" fontId="8" fillId="0" borderId="12" xfId="0" applyNumberFormat="1" applyFont="1" applyBorder="1"/>
    <xf numFmtId="164" fontId="8" fillId="0" borderId="4" xfId="0" applyNumberFormat="1" applyFont="1" applyBorder="1"/>
    <xf numFmtId="164" fontId="8" fillId="0" borderId="0" xfId="0" applyNumberFormat="1" applyFont="1"/>
    <xf numFmtId="164" fontId="8" fillId="0" borderId="6" xfId="0" applyNumberFormat="1" applyFont="1" applyBorder="1" applyAlignment="1">
      <alignment horizontal="right"/>
    </xf>
    <xf numFmtId="164" fontId="8" fillId="8" borderId="2" xfId="0" applyNumberFormat="1" applyFont="1" applyFill="1" applyBorder="1"/>
    <xf numFmtId="164" fontId="8" fillId="3" borderId="2" xfId="0" applyNumberFormat="1" applyFont="1" applyFill="1" applyBorder="1"/>
    <xf numFmtId="1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8" fillId="0" borderId="10" xfId="0" applyFont="1" applyBorder="1"/>
    <xf numFmtId="164" fontId="10" fillId="0" borderId="15" xfId="0" applyNumberFormat="1" applyFont="1" applyBorder="1" applyAlignment="1">
      <alignment horizontal="center"/>
    </xf>
    <xf numFmtId="0" fontId="8" fillId="0" borderId="13" xfId="0" applyFont="1" applyBorder="1"/>
    <xf numFmtId="164" fontId="8" fillId="0" borderId="3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10" fillId="0" borderId="14" xfId="0" applyFont="1" applyBorder="1"/>
    <xf numFmtId="0" fontId="10" fillId="0" borderId="7" xfId="0" applyFont="1" applyBorder="1"/>
    <xf numFmtId="164" fontId="10" fillId="0" borderId="7" xfId="0" applyNumberFormat="1" applyFont="1" applyBorder="1"/>
    <xf numFmtId="9" fontId="8" fillId="0" borderId="0" xfId="0" applyNumberFormat="1" applyFont="1"/>
    <xf numFmtId="0" fontId="0" fillId="0" borderId="0" xfId="0" applyAlignment="1">
      <alignment wrapText="1"/>
    </xf>
    <xf numFmtId="0" fontId="11" fillId="0" borderId="0" xfId="0" applyFont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3" fontId="2" fillId="3" borderId="2" xfId="0" applyNumberFormat="1" applyFont="1" applyFill="1" applyBorder="1"/>
    <xf numFmtId="0" fontId="1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165" fontId="0" fillId="0" borderId="0" xfId="0" applyNumberFormat="1"/>
    <xf numFmtId="9" fontId="12" fillId="0" borderId="0" xfId="0" applyNumberFormat="1" applyFont="1"/>
    <xf numFmtId="166" fontId="0" fillId="0" borderId="0" xfId="0" applyNumberFormat="1"/>
    <xf numFmtId="0" fontId="12" fillId="0" borderId="6" xfId="0" applyFont="1" applyBorder="1"/>
    <xf numFmtId="3" fontId="2" fillId="3" borderId="6" xfId="0" applyNumberFormat="1" applyFont="1" applyFill="1" applyBorder="1"/>
    <xf numFmtId="3" fontId="0" fillId="0" borderId="0" xfId="0" applyNumberFormat="1"/>
    <xf numFmtId="3" fontId="2" fillId="9" borderId="2" xfId="0" applyNumberFormat="1" applyFont="1" applyFill="1" applyBorder="1" applyAlignment="1">
      <alignment horizontal="right"/>
    </xf>
    <xf numFmtId="3" fontId="2" fillId="0" borderId="2" xfId="0" applyNumberFormat="1" applyFont="1" applyBorder="1" applyAlignment="1">
      <alignment horizontal="right" vertical="center"/>
    </xf>
    <xf numFmtId="166" fontId="0" fillId="7" borderId="0" xfId="0" applyNumberFormat="1" applyFill="1"/>
    <xf numFmtId="0" fontId="12" fillId="0" borderId="4" xfId="0" applyFont="1" applyBorder="1"/>
    <xf numFmtId="3" fontId="2" fillId="0" borderId="4" xfId="0" applyNumberFormat="1" applyFont="1" applyBorder="1"/>
    <xf numFmtId="3" fontId="2" fillId="0" borderId="6" xfId="0" applyNumberFormat="1" applyFont="1" applyBorder="1" applyAlignment="1">
      <alignment horizontal="right"/>
    </xf>
    <xf numFmtId="166" fontId="0" fillId="10" borderId="0" xfId="0" applyNumberFormat="1" applyFill="1"/>
    <xf numFmtId="3" fontId="2" fillId="0" borderId="2" xfId="0" applyNumberFormat="1" applyFont="1" applyBorder="1"/>
    <xf numFmtId="166" fontId="2" fillId="0" borderId="2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167" fontId="0" fillId="0" borderId="0" xfId="0" applyNumberFormat="1"/>
    <xf numFmtId="3" fontId="0" fillId="7" borderId="0" xfId="0" applyNumberFormat="1" applyFill="1"/>
    <xf numFmtId="166" fontId="0" fillId="3" borderId="0" xfId="0" applyNumberFormat="1" applyFill="1"/>
    <xf numFmtId="0" fontId="6" fillId="0" borderId="0" xfId="0" applyFont="1"/>
    <xf numFmtId="1" fontId="0" fillId="11" borderId="0" xfId="0" applyNumberFormat="1" applyFill="1"/>
    <xf numFmtId="0" fontId="12" fillId="12" borderId="2" xfId="0" applyFont="1" applyFill="1" applyBorder="1"/>
    <xf numFmtId="3" fontId="0" fillId="0" borderId="2" xfId="0" applyNumberFormat="1" applyBorder="1"/>
    <xf numFmtId="0" fontId="0" fillId="13" borderId="2" xfId="0" applyFill="1" applyBorder="1"/>
    <xf numFmtId="3" fontId="0" fillId="13" borderId="2" xfId="0" applyNumberFormat="1" applyFill="1" applyBorder="1"/>
    <xf numFmtId="0" fontId="14" fillId="0" borderId="0" xfId="0" applyFont="1"/>
    <xf numFmtId="0" fontId="15" fillId="0" borderId="0" xfId="0" applyFont="1"/>
    <xf numFmtId="0" fontId="15" fillId="0" borderId="19" xfId="0" applyFont="1" applyBorder="1"/>
    <xf numFmtId="0" fontId="14" fillId="0" borderId="20" xfId="0" applyFont="1" applyBorder="1"/>
    <xf numFmtId="3" fontId="14" fillId="3" borderId="20" xfId="0" applyNumberFormat="1" applyFont="1" applyFill="1" applyBorder="1"/>
    <xf numFmtId="0" fontId="14" fillId="0" borderId="21" xfId="0" applyFont="1" applyBorder="1"/>
    <xf numFmtId="3" fontId="14" fillId="9" borderId="20" xfId="0" applyNumberFormat="1" applyFont="1" applyFill="1" applyBorder="1"/>
    <xf numFmtId="3" fontId="14" fillId="7" borderId="0" xfId="0" applyNumberFormat="1" applyFont="1" applyFill="1"/>
    <xf numFmtId="0" fontId="14" fillId="0" borderId="22" xfId="0" applyFont="1" applyBorder="1"/>
    <xf numFmtId="0" fontId="14" fillId="0" borderId="23" xfId="0" applyFont="1" applyBorder="1"/>
    <xf numFmtId="0" fontId="14" fillId="0" borderId="19" xfId="0" applyFont="1" applyBorder="1"/>
    <xf numFmtId="0" fontId="15" fillId="0" borderId="22" xfId="0" applyFont="1" applyBorder="1"/>
    <xf numFmtId="0" fontId="14" fillId="0" borderId="24" xfId="0" applyFont="1" applyBorder="1"/>
    <xf numFmtId="3" fontId="14" fillId="0" borderId="2" xfId="0" applyNumberFormat="1" applyFont="1" applyBorder="1"/>
    <xf numFmtId="10" fontId="14" fillId="0" borderId="2" xfId="0" applyNumberFormat="1" applyFont="1" applyBorder="1"/>
    <xf numFmtId="3" fontId="14" fillId="0" borderId="23" xfId="0" applyNumberFormat="1" applyFont="1" applyBorder="1" applyAlignment="1">
      <alignment horizontal="right"/>
    </xf>
    <xf numFmtId="0" fontId="14" fillId="0" borderId="0" xfId="0" applyFont="1" applyAlignment="1">
      <alignment horizontal="center"/>
    </xf>
    <xf numFmtId="3" fontId="14" fillId="0" borderId="0" xfId="0" applyNumberFormat="1" applyFont="1"/>
    <xf numFmtId="10" fontId="14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23" xfId="0" applyNumberFormat="1" applyFont="1" applyBorder="1"/>
    <xf numFmtId="0" fontId="16" fillId="2" borderId="1" xfId="1" applyFont="1" applyProtection="1"/>
    <xf numFmtId="3" fontId="16" fillId="2" borderId="25" xfId="1" applyNumberFormat="1" applyFont="1" applyBorder="1" applyProtection="1"/>
    <xf numFmtId="0" fontId="16" fillId="2" borderId="0" xfId="1" applyFont="1" applyBorder="1" applyProtection="1"/>
    <xf numFmtId="3" fontId="16" fillId="2" borderId="0" xfId="1" applyNumberFormat="1" applyFont="1" applyBorder="1" applyProtection="1"/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10" fontId="6" fillId="7" borderId="5" xfId="0" applyNumberFormat="1" applyFont="1" applyFill="1" applyBorder="1" applyAlignment="1">
      <alignment horizontal="center" wrapText="1" readingOrder="1"/>
    </xf>
    <xf numFmtId="1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15" borderId="0" xfId="0" applyFont="1" applyFill="1" applyAlignment="1">
      <alignment horizontal="center" vertical="center"/>
    </xf>
    <xf numFmtId="0" fontId="5" fillId="14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 readingOrder="1"/>
    </xf>
    <xf numFmtId="0" fontId="1" fillId="0" borderId="2" xfId="0" applyFont="1" applyBorder="1" applyAlignment="1">
      <alignment horizontal="left" vertical="center" wrapText="1"/>
    </xf>
    <xf numFmtId="0" fontId="5" fillId="6" borderId="29" xfId="0" applyFont="1" applyFill="1" applyBorder="1" applyAlignment="1">
      <alignment horizontal="center" wrapText="1"/>
    </xf>
    <xf numFmtId="0" fontId="5" fillId="6" borderId="30" xfId="0" applyFont="1" applyFill="1" applyBorder="1" applyAlignment="1">
      <alignment horizontal="center" wrapText="1"/>
    </xf>
    <xf numFmtId="0" fontId="5" fillId="6" borderId="31" xfId="0" applyFont="1" applyFill="1" applyBorder="1" applyAlignment="1">
      <alignment horizontal="center" wrapText="1"/>
    </xf>
    <xf numFmtId="9" fontId="6" fillId="7" borderId="2" xfId="0" applyNumberFormat="1" applyFont="1" applyFill="1" applyBorder="1" applyAlignment="1">
      <alignment horizontal="center" wrapText="1" readingOrder="1"/>
    </xf>
    <xf numFmtId="164" fontId="1" fillId="3" borderId="2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0" fontId="8" fillId="8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0" xfId="0" applyFont="1" applyAlignment="1">
      <alignment horizontal="center" vertical="center" wrapText="1" indent="2"/>
    </xf>
    <xf numFmtId="0" fontId="12" fillId="0" borderId="14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166" fontId="2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/>
    <xf numFmtId="0" fontId="1" fillId="0" borderId="2" xfId="0" applyFont="1" applyBorder="1" applyAlignment="1"/>
    <xf numFmtId="0" fontId="1" fillId="0" borderId="9" xfId="0" applyFont="1" applyBorder="1" applyAlignment="1"/>
  </cellXfs>
  <cellStyles count="2">
    <cellStyle name="Excel Built-in Calculation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7F7F7F"/>
      <rgbColor rgb="FF9999FF"/>
      <rgbColor rgb="FF993366"/>
      <rgbColor rgb="FFF2F2F2"/>
      <rgbColor rgb="FFE7E6E6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A7D00"/>
      <rgbColor rgb="FF5983B0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flonline-my.sharepoint.com/personal/014097_sundaramfinance_in/Documents/Tax%20Savings%20Working%20Sheet.xlsx" TargetMode="External"/><Relationship Id="rId1" Type="http://schemas.openxmlformats.org/officeDocument/2006/relationships/externalLinkPath" Target="Tax%20Savings%20Wor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v5f-3h4mE6kuBf4b0S8x5oKP6eiZ7VBkAExVdHWHCEEzqgly8wQQaWWoVSwA6Zn" itemId="016HDQBXSELPPFXTLRKNDL25C6T74P3Q35">
      <xxl21:absoluteUrl r:id="rId2"/>
    </xxl21:alternateUrls>
    <sheetNames>
      <sheetName val="Comparision Lease Vs Loan Tax I"/>
      <sheetName val="New Tax Workings Overview"/>
      <sheetName val="Sample Pay Slip Comparision"/>
      <sheetName val="Allowance &amp; Eligible Car Value"/>
    </sheetNames>
    <sheetDataSet>
      <sheetData sheetId="0"/>
      <sheetData sheetId="1"/>
      <sheetData sheetId="2"/>
      <sheetData sheetId="3">
        <row r="2">
          <cell r="C2">
            <v>570000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P9"/>
  <sheetViews>
    <sheetView zoomScaleNormal="100" workbookViewId="0">
      <selection activeCell="B10" sqref="B10"/>
    </sheetView>
  </sheetViews>
  <sheetFormatPr defaultColWidth="8.7109375" defaultRowHeight="12.75" customHeight="1"/>
  <cols>
    <col min="1" max="1" width="14.5703125" customWidth="1"/>
  </cols>
  <sheetData>
    <row r="5" spans="1:16">
      <c r="B5" s="123" t="s">
        <v>0</v>
      </c>
      <c r="C5" s="123"/>
      <c r="D5" s="123"/>
    </row>
    <row r="6" spans="1:16">
      <c r="A6" s="2" t="s">
        <v>1</v>
      </c>
      <c r="B6" s="124" t="s">
        <v>2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</row>
    <row r="8" spans="1:16">
      <c r="B8" s="123" t="s">
        <v>3</v>
      </c>
      <c r="C8" s="123"/>
      <c r="D8" s="123"/>
    </row>
    <row r="9" spans="1:16">
      <c r="A9" s="2" t="s">
        <v>1</v>
      </c>
      <c r="B9" s="124" t="s">
        <v>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</row>
  </sheetData>
  <mergeCells count="4">
    <mergeCell ref="B5:D5"/>
    <mergeCell ref="B6:P6"/>
    <mergeCell ref="B8:D8"/>
    <mergeCell ref="B9:P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3"/>
  <sheetViews>
    <sheetView showGridLines="0" tabSelected="1" zoomScale="90" zoomScaleNormal="90" workbookViewId="0">
      <selection activeCell="D14" sqref="D14:D15"/>
    </sheetView>
  </sheetViews>
  <sheetFormatPr defaultColWidth="11.5703125" defaultRowHeight="15.75" customHeight="1"/>
  <cols>
    <col min="1" max="1" width="4.7109375" customWidth="1"/>
    <col min="3" max="3" width="13.42578125" customWidth="1"/>
    <col min="4" max="4" width="35.42578125" style="1" customWidth="1"/>
    <col min="5" max="5" width="5" customWidth="1"/>
    <col min="6" max="6" width="29.5703125" customWidth="1"/>
    <col min="7" max="7" width="20.28515625" customWidth="1"/>
    <col min="8" max="8" width="12.42578125" customWidth="1"/>
    <col min="9" max="9" width="14.85546875" customWidth="1"/>
    <col min="10" max="10" width="19.7109375" customWidth="1"/>
    <col min="11" max="11" width="23" customWidth="1"/>
    <col min="12" max="12" width="20.28515625" customWidth="1"/>
    <col min="14" max="14" width="37.5703125" customWidth="1"/>
    <col min="15" max="15" width="20" customWidth="1"/>
    <col min="16" max="16" width="26" customWidth="1"/>
    <col min="17" max="17" width="21.7109375" customWidth="1"/>
    <col min="18" max="18" width="21.42578125" customWidth="1"/>
  </cols>
  <sheetData>
    <row r="2" spans="2:14" ht="15.75" customHeight="1">
      <c r="B2" s="158" t="s">
        <v>5</v>
      </c>
      <c r="C2" s="158"/>
      <c r="D2" s="158"/>
      <c r="E2" s="3"/>
      <c r="F2" s="125" t="s">
        <v>6</v>
      </c>
      <c r="G2" s="125"/>
      <c r="H2" s="125"/>
      <c r="I2" s="125"/>
      <c r="J2" s="125"/>
      <c r="K2" s="125"/>
      <c r="L2" s="125"/>
    </row>
    <row r="3" spans="2:14" ht="15.75" customHeight="1">
      <c r="B3" s="3"/>
      <c r="C3" s="3"/>
      <c r="D3" s="4"/>
      <c r="E3" s="3"/>
      <c r="F3" s="125"/>
      <c r="G3" s="125"/>
      <c r="H3" s="125"/>
      <c r="I3" s="125"/>
      <c r="J3" s="125"/>
      <c r="K3" s="125"/>
      <c r="L3" s="125"/>
    </row>
    <row r="4" spans="2:14" ht="15.75" customHeight="1">
      <c r="B4" s="126" t="s">
        <v>7</v>
      </c>
      <c r="C4" s="126"/>
      <c r="D4" s="126"/>
      <c r="E4" s="3"/>
    </row>
    <row r="5" spans="2:14" ht="15.75" customHeight="1">
      <c r="B5" s="3"/>
      <c r="C5" s="3"/>
      <c r="D5" s="4"/>
      <c r="E5" s="3"/>
    </row>
    <row r="6" spans="2:14" ht="15.75" customHeight="1">
      <c r="B6" s="127" t="s">
        <v>8</v>
      </c>
      <c r="C6" s="127"/>
      <c r="D6" s="8" t="s">
        <v>9</v>
      </c>
      <c r="E6" s="3"/>
      <c r="F6" s="5" t="s">
        <v>10</v>
      </c>
      <c r="G6" s="128">
        <v>3</v>
      </c>
      <c r="H6" s="128"/>
      <c r="I6" s="128">
        <v>4</v>
      </c>
      <c r="J6" s="128"/>
      <c r="K6" s="128">
        <v>5</v>
      </c>
      <c r="L6" s="128"/>
    </row>
    <row r="7" spans="2:14" ht="15.75" customHeight="1">
      <c r="B7" s="129" t="s">
        <v>11</v>
      </c>
      <c r="C7" s="129"/>
      <c r="D7" s="9">
        <f>D9/(1+D21)</f>
        <v>847457.62711864407</v>
      </c>
      <c r="E7" s="3"/>
      <c r="F7" s="6" t="s">
        <v>12</v>
      </c>
      <c r="G7" s="121">
        <v>0.18</v>
      </c>
      <c r="H7" s="121">
        <v>0.4</v>
      </c>
      <c r="I7" s="121">
        <v>0.18</v>
      </c>
      <c r="J7" s="121">
        <v>0.4</v>
      </c>
      <c r="K7" s="121">
        <v>0.18</v>
      </c>
      <c r="L7" s="121">
        <v>0.4</v>
      </c>
    </row>
    <row r="8" spans="2:14" ht="24.75" customHeight="1">
      <c r="B8" s="129" t="s">
        <v>13</v>
      </c>
      <c r="C8" s="129"/>
      <c r="D8" s="9">
        <f>+D7*D21</f>
        <v>152542.37288135593</v>
      </c>
      <c r="E8" s="3"/>
      <c r="F8" s="6" t="s">
        <v>14</v>
      </c>
      <c r="G8" s="7">
        <f>3255+50</f>
        <v>3305</v>
      </c>
      <c r="H8" s="7">
        <f>3305+50</f>
        <v>3355</v>
      </c>
      <c r="I8" s="7">
        <f>2670+50</f>
        <v>2720</v>
      </c>
      <c r="J8" s="7">
        <f>2720+50</f>
        <v>2770</v>
      </c>
      <c r="K8" s="7">
        <f>2305+50</f>
        <v>2355</v>
      </c>
      <c r="L8" s="7">
        <f>2355+50</f>
        <v>2405</v>
      </c>
    </row>
    <row r="9" spans="2:14" ht="15.75" customHeight="1">
      <c r="B9" s="129" t="s">
        <v>15</v>
      </c>
      <c r="C9" s="129"/>
      <c r="D9" s="10">
        <v>1000000</v>
      </c>
      <c r="E9" s="3"/>
      <c r="F9" s="6" t="s">
        <v>16</v>
      </c>
      <c r="G9" s="133">
        <v>0.1</v>
      </c>
      <c r="H9" s="133"/>
      <c r="I9" s="133">
        <v>0.05</v>
      </c>
      <c r="J9" s="133"/>
      <c r="K9" s="133">
        <v>0.01</v>
      </c>
      <c r="L9" s="133"/>
    </row>
    <row r="10" spans="2:14" ht="15.75" customHeight="1">
      <c r="B10" s="129" t="s">
        <v>17</v>
      </c>
      <c r="C10" s="129"/>
      <c r="D10" s="10">
        <v>0</v>
      </c>
      <c r="E10" s="3"/>
    </row>
    <row r="11" spans="2:14" ht="15.75" customHeight="1">
      <c r="B11" s="129" t="s">
        <v>18</v>
      </c>
      <c r="C11" s="129"/>
      <c r="D11" s="9">
        <f>D9-D10</f>
        <v>1000000</v>
      </c>
      <c r="E11" s="3"/>
    </row>
    <row r="12" spans="2:14" ht="15.75" customHeight="1">
      <c r="B12" s="129" t="s">
        <v>19</v>
      </c>
      <c r="C12" s="129"/>
      <c r="D12" s="9">
        <f>D11/(1+D21)</f>
        <v>847457.62711864407</v>
      </c>
      <c r="E12" s="3"/>
      <c r="F12" s="130" t="s">
        <v>20</v>
      </c>
      <c r="G12" s="131"/>
      <c r="H12" s="131"/>
      <c r="I12" s="131"/>
      <c r="J12" s="131"/>
      <c r="K12" s="131"/>
      <c r="L12" s="132"/>
    </row>
    <row r="13" spans="2:14" ht="15.75" customHeight="1">
      <c r="B13" s="129" t="s">
        <v>13</v>
      </c>
      <c r="C13" s="129"/>
      <c r="D13" s="9">
        <f>D12*D21</f>
        <v>152542.37288135593</v>
      </c>
      <c r="E13" s="3"/>
      <c r="F13" s="8" t="s">
        <v>21</v>
      </c>
      <c r="G13" s="8" t="s">
        <v>22</v>
      </c>
      <c r="H13" s="8" t="s">
        <v>23</v>
      </c>
      <c r="I13" s="8" t="s">
        <v>24</v>
      </c>
      <c r="J13" s="8" t="s">
        <v>25</v>
      </c>
      <c r="K13" s="8" t="s">
        <v>26</v>
      </c>
      <c r="L13" s="8" t="s">
        <v>27</v>
      </c>
    </row>
    <row r="14" spans="2:14" ht="35.25" customHeight="1">
      <c r="B14" s="129" t="s">
        <v>28</v>
      </c>
      <c r="C14" s="129"/>
      <c r="D14" s="134">
        <f>(35000+14750+700+19156+37498)*0+(44500)*0</f>
        <v>0</v>
      </c>
      <c r="E14" s="3"/>
      <c r="F14" s="11">
        <v>36</v>
      </c>
      <c r="G14" s="12">
        <f>'3 Year RV @ 10% FL'!E18</f>
        <v>33050</v>
      </c>
      <c r="H14" s="12">
        <f>G14*F14</f>
        <v>1189800</v>
      </c>
      <c r="I14" s="12">
        <f>'3 Year RV @ 10% FL'!E55</f>
        <v>100000.00000000001</v>
      </c>
      <c r="J14" s="12">
        <f>'3 Year RV @ 10% FL'!D12</f>
        <v>371217.6</v>
      </c>
      <c r="K14" s="12">
        <f>H14+I14-J14</f>
        <v>918582.4</v>
      </c>
      <c r="L14" s="12">
        <f>K20-K14</f>
        <v>205952.06956030184</v>
      </c>
      <c r="N14" s="22"/>
    </row>
    <row r="15" spans="2:14" ht="51.75" customHeight="1">
      <c r="B15" s="129"/>
      <c r="C15" s="129"/>
      <c r="D15" s="134"/>
      <c r="E15" s="3"/>
      <c r="F15" s="11">
        <v>48</v>
      </c>
      <c r="G15" s="12">
        <f>'4 Year RV @ 5% FL'!E18</f>
        <v>27200</v>
      </c>
      <c r="H15" s="12">
        <f>G15*F15</f>
        <v>1305600</v>
      </c>
      <c r="I15" s="12">
        <f>'4 Year RV @ 5% FL'!E67</f>
        <v>50000.000000000007</v>
      </c>
      <c r="J15" s="12">
        <f>'4 Year RV @ 5% FL'!D12</f>
        <v>407347.20000000001</v>
      </c>
      <c r="K15" s="12">
        <f>H15+I15-J15</f>
        <v>948252.8</v>
      </c>
      <c r="L15" s="12">
        <f>K21-K15</f>
        <v>221168.68813020387</v>
      </c>
      <c r="N15" s="22"/>
    </row>
    <row r="16" spans="2:14" ht="15.75" customHeight="1">
      <c r="B16" s="136" t="s">
        <v>29</v>
      </c>
      <c r="C16" s="136"/>
      <c r="D16" s="13">
        <v>0</v>
      </c>
      <c r="E16" s="3"/>
      <c r="F16" s="11">
        <v>60</v>
      </c>
      <c r="G16" s="12">
        <f>'5 Year  RV @ 1% FL'!E18</f>
        <v>23550</v>
      </c>
      <c r="H16" s="12">
        <f>G16*F16</f>
        <v>1413000</v>
      </c>
      <c r="I16" s="12">
        <f>'5 Year  RV @ 1% FL'!E79</f>
        <v>10000</v>
      </c>
      <c r="J16" s="12">
        <f>'5 Year  RV @ 1% FL'!D12</f>
        <v>440856</v>
      </c>
      <c r="K16" s="12">
        <f>H16+I16-J16</f>
        <v>982144</v>
      </c>
      <c r="L16" s="12">
        <f>K22-K16</f>
        <v>233275.0936499997</v>
      </c>
      <c r="N16" s="22"/>
    </row>
    <row r="17" spans="2:12" ht="15.75" customHeight="1">
      <c r="B17" s="14" t="s">
        <v>30</v>
      </c>
      <c r="C17" s="14"/>
      <c r="D17" s="15">
        <f>D11*1/100*0</f>
        <v>0</v>
      </c>
      <c r="E17" s="3"/>
      <c r="F17" s="3"/>
      <c r="G17" s="3"/>
      <c r="H17" s="3"/>
      <c r="I17" s="3"/>
      <c r="J17" s="3"/>
      <c r="K17" s="3"/>
      <c r="L17" s="3"/>
    </row>
    <row r="18" spans="2:12" ht="15.75" customHeight="1">
      <c r="B18" s="137" t="s">
        <v>31</v>
      </c>
      <c r="C18" s="137"/>
      <c r="D18" s="16">
        <f>+D11+D14-D16+D17</f>
        <v>1000000</v>
      </c>
      <c r="E18" s="3"/>
      <c r="F18" s="135" t="s">
        <v>32</v>
      </c>
      <c r="G18" s="135"/>
      <c r="H18" s="135"/>
      <c r="I18" s="135"/>
      <c r="J18" s="135"/>
      <c r="K18" s="135"/>
      <c r="L18" s="3"/>
    </row>
    <row r="19" spans="2:12" ht="15.75" customHeight="1">
      <c r="B19" s="159" t="s">
        <v>33</v>
      </c>
      <c r="C19" s="159"/>
      <c r="D19" s="17">
        <f>D18-D13-D17</f>
        <v>847457.62711864407</v>
      </c>
      <c r="E19" s="3"/>
      <c r="F19" s="8" t="s">
        <v>21</v>
      </c>
      <c r="G19" s="8" t="s">
        <v>34</v>
      </c>
      <c r="H19" s="8" t="s">
        <v>35</v>
      </c>
      <c r="I19" s="8" t="s">
        <v>24</v>
      </c>
      <c r="J19" s="8" t="s">
        <v>25</v>
      </c>
      <c r="K19" s="8" t="s">
        <v>36</v>
      </c>
      <c r="L19" s="3"/>
    </row>
    <row r="20" spans="2:12" ht="15.75" customHeight="1">
      <c r="B20" s="18"/>
      <c r="C20" s="160"/>
      <c r="D20" s="160"/>
      <c r="E20" s="3"/>
      <c r="F20" s="11">
        <v>36</v>
      </c>
      <c r="G20" s="12">
        <f>'3 Year RV @ 10% FL'!I18</f>
        <v>31237.068598897273</v>
      </c>
      <c r="H20" s="12">
        <f>G20*F20</f>
        <v>1124534.4695603019</v>
      </c>
      <c r="I20" s="12">
        <v>0</v>
      </c>
      <c r="J20" s="12">
        <v>0</v>
      </c>
      <c r="K20" s="12">
        <f>H20+I20-J20</f>
        <v>1124534.4695603019</v>
      </c>
      <c r="L20" s="122"/>
    </row>
    <row r="21" spans="2:12" ht="15.75" customHeight="1">
      <c r="B21" s="129" t="s">
        <v>37</v>
      </c>
      <c r="C21" s="129"/>
      <c r="D21" s="19">
        <v>0.18</v>
      </c>
      <c r="E21" s="3"/>
      <c r="F21" s="11">
        <v>48</v>
      </c>
      <c r="G21" s="12">
        <f>'4 Year RV @ 5% FL'!I48</f>
        <v>24362.947669379249</v>
      </c>
      <c r="H21" s="12">
        <f>G21*F21</f>
        <v>1169421.4881302039</v>
      </c>
      <c r="I21" s="12">
        <v>0</v>
      </c>
      <c r="J21" s="12">
        <v>0</v>
      </c>
      <c r="K21" s="12">
        <f>H21+I21-J21</f>
        <v>1169421.4881302039</v>
      </c>
      <c r="L21" s="3"/>
    </row>
    <row r="22" spans="2:12" ht="15.75" customHeight="1">
      <c r="B22" s="159" t="s">
        <v>38</v>
      </c>
      <c r="C22" s="159"/>
      <c r="D22" s="20">
        <v>0.312</v>
      </c>
      <c r="E22" s="3"/>
      <c r="F22" s="11">
        <v>60</v>
      </c>
      <c r="G22" s="12">
        <f>'5 Year  RV @ 1% FL'!I18</f>
        <v>20256.984894166661</v>
      </c>
      <c r="H22" s="12">
        <f>G22*F22</f>
        <v>1215419.0936499997</v>
      </c>
      <c r="I22" s="12">
        <v>0</v>
      </c>
      <c r="J22" s="12">
        <v>0</v>
      </c>
      <c r="K22" s="12">
        <f>H22+I22-J22</f>
        <v>1215419.0936499997</v>
      </c>
      <c r="L22" s="3"/>
    </row>
    <row r="23" spans="2:12" ht="15.75" customHeight="1">
      <c r="B23" s="159" t="s">
        <v>39</v>
      </c>
      <c r="C23" s="159"/>
      <c r="D23" s="21">
        <v>8.2500000000000004E-2</v>
      </c>
    </row>
  </sheetData>
  <mergeCells count="28">
    <mergeCell ref="B23:C23"/>
    <mergeCell ref="F18:K18"/>
    <mergeCell ref="B16:C16"/>
    <mergeCell ref="B18:C18"/>
    <mergeCell ref="B19:C19"/>
    <mergeCell ref="C20:D20"/>
    <mergeCell ref="B13:C13"/>
    <mergeCell ref="B14:C15"/>
    <mergeCell ref="D14:D15"/>
    <mergeCell ref="B21:C21"/>
    <mergeCell ref="B22:C22"/>
    <mergeCell ref="B7:C7"/>
    <mergeCell ref="B8:C8"/>
    <mergeCell ref="F12:L12"/>
    <mergeCell ref="B9:C9"/>
    <mergeCell ref="B10:C10"/>
    <mergeCell ref="G9:H9"/>
    <mergeCell ref="I9:J9"/>
    <mergeCell ref="K9:L9"/>
    <mergeCell ref="B11:C11"/>
    <mergeCell ref="B12:C12"/>
    <mergeCell ref="B2:D2"/>
    <mergeCell ref="F2:L3"/>
    <mergeCell ref="B4:D4"/>
    <mergeCell ref="B6:C6"/>
    <mergeCell ref="G6:H6"/>
    <mergeCell ref="I6:J6"/>
    <mergeCell ref="K6:L6"/>
  </mergeCells>
  <dataValidations count="1">
    <dataValidation type="list" allowBlank="1" showErrorMessage="1" sqref="D21" xr:uid="{00000000-0002-0000-0100-000000000000}">
      <formula1>"18%,40%,"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56"/>
  <sheetViews>
    <sheetView showGridLines="0" zoomScaleNormal="100" workbookViewId="0">
      <selection activeCell="D4" sqref="D4"/>
    </sheetView>
  </sheetViews>
  <sheetFormatPr defaultColWidth="9.140625" defaultRowHeight="15" customHeight="1"/>
  <cols>
    <col min="1" max="1" width="9.140625" style="23"/>
    <col min="2" max="2" width="14.140625" style="23" customWidth="1"/>
    <col min="3" max="3" width="15.42578125" style="23" customWidth="1"/>
    <col min="4" max="4" width="14.140625" style="23" customWidth="1"/>
    <col min="5" max="5" width="14" style="23" customWidth="1"/>
    <col min="6" max="6" width="9.140625" style="23"/>
    <col min="7" max="7" width="11.28515625" style="23" customWidth="1"/>
    <col min="8" max="8" width="14.5703125" style="23" customWidth="1"/>
    <col min="9" max="9" width="12.28515625" style="23" customWidth="1"/>
    <col min="10" max="10" width="9.140625" style="23"/>
    <col min="11" max="11" width="12.140625" style="23" customWidth="1"/>
    <col min="12" max="12" width="11.5703125" style="23" customWidth="1"/>
    <col min="13" max="13" width="14" style="23" customWidth="1"/>
    <col min="14" max="15" width="9.140625" style="23"/>
    <col min="16" max="16" width="11.5703125" style="23" hidden="1" customWidth="1"/>
    <col min="17" max="19" width="9.140625" style="23"/>
    <col min="20" max="20" width="9.85546875" style="23" customWidth="1"/>
    <col min="21" max="16384" width="9.140625" style="23"/>
  </cols>
  <sheetData>
    <row r="2" spans="2:20" ht="15" customHeight="1">
      <c r="B2" s="138" t="s">
        <v>40</v>
      </c>
      <c r="C2" s="138"/>
      <c r="D2" s="138"/>
      <c r="E2" s="138"/>
      <c r="G2" s="138" t="s">
        <v>41</v>
      </c>
      <c r="H2" s="138"/>
      <c r="I2" s="138"/>
    </row>
    <row r="3" spans="2:20" ht="15" customHeight="1">
      <c r="P3" s="24">
        <v>0.28999999999999998</v>
      </c>
    </row>
    <row r="4" spans="2:20" ht="15" customHeight="1">
      <c r="B4" s="139" t="s">
        <v>42</v>
      </c>
      <c r="C4" s="139"/>
      <c r="D4" s="25">
        <f>+IF(D7&gt;0.18,3355,3305)</f>
        <v>3305</v>
      </c>
      <c r="G4" s="139" t="s">
        <v>43</v>
      </c>
      <c r="H4" s="139"/>
      <c r="I4" s="25">
        <f>Summary!D18</f>
        <v>1000000</v>
      </c>
      <c r="P4" s="24">
        <v>0.31</v>
      </c>
    </row>
    <row r="5" spans="2:20" ht="15" customHeight="1">
      <c r="B5" s="140" t="s">
        <v>44</v>
      </c>
      <c r="C5" s="140"/>
      <c r="D5" s="26">
        <v>36</v>
      </c>
      <c r="G5" s="140" t="s">
        <v>44</v>
      </c>
      <c r="H5" s="140"/>
      <c r="I5" s="26">
        <f>+D5</f>
        <v>36</v>
      </c>
      <c r="P5" s="24">
        <v>0.43</v>
      </c>
    </row>
    <row r="6" spans="2:20" ht="15" customHeight="1">
      <c r="B6" s="140" t="s">
        <v>45</v>
      </c>
      <c r="C6" s="140"/>
      <c r="D6" s="27">
        <f>Summary!D22</f>
        <v>0.312</v>
      </c>
      <c r="G6" s="140" t="s">
        <v>45</v>
      </c>
      <c r="H6" s="140"/>
      <c r="I6" s="28">
        <f>+D6</f>
        <v>0.312</v>
      </c>
      <c r="O6" s="29"/>
      <c r="P6" s="30">
        <v>0.45</v>
      </c>
      <c r="Q6" s="29"/>
      <c r="R6" s="31"/>
    </row>
    <row r="7" spans="2:20" ht="15" customHeight="1">
      <c r="B7" s="140" t="s">
        <v>46</v>
      </c>
      <c r="C7" s="140"/>
      <c r="D7" s="32">
        <f>Summary!D21</f>
        <v>0.18</v>
      </c>
      <c r="G7" s="140" t="s">
        <v>47</v>
      </c>
      <c r="H7" s="140"/>
      <c r="I7" s="33">
        <f>Summary!D23</f>
        <v>8.2500000000000004E-2</v>
      </c>
      <c r="O7" s="29"/>
      <c r="P7" s="30">
        <v>0.48</v>
      </c>
      <c r="Q7" s="29"/>
      <c r="R7" s="34"/>
    </row>
    <row r="8" spans="2:20" ht="15" customHeight="1">
      <c r="B8" s="140" t="s">
        <v>48</v>
      </c>
      <c r="C8" s="140"/>
      <c r="D8" s="35">
        <v>0.1</v>
      </c>
      <c r="G8" s="141" t="s">
        <v>49</v>
      </c>
      <c r="H8" s="141"/>
      <c r="I8" s="36">
        <f>PMT(I7/12,I5,-I4,0,1)</f>
        <v>31237.068598897273</v>
      </c>
      <c r="P8" s="24">
        <v>0.5</v>
      </c>
      <c r="R8" s="31"/>
    </row>
    <row r="9" spans="2:20" ht="15" customHeight="1">
      <c r="B9" s="141" t="s">
        <v>50</v>
      </c>
      <c r="C9" s="141"/>
      <c r="D9" s="36">
        <f>Summary!D19</f>
        <v>847457.62711864407</v>
      </c>
      <c r="R9" s="31"/>
    </row>
    <row r="10" spans="2:20" ht="15" customHeight="1">
      <c r="R10" s="31"/>
      <c r="T10" s="37"/>
    </row>
    <row r="11" spans="2:20" ht="15" customHeight="1">
      <c r="B11" s="142" t="s">
        <v>51</v>
      </c>
      <c r="C11" s="142"/>
      <c r="D11" s="38">
        <f>+E56</f>
        <v>1289800</v>
      </c>
      <c r="F11" s="37">
        <f>I13-D13</f>
        <v>205952.06956030207</v>
      </c>
      <c r="T11" s="37"/>
    </row>
    <row r="12" spans="2:20" ht="15" customHeight="1">
      <c r="B12" s="143" t="s">
        <v>52</v>
      </c>
      <c r="C12" s="143"/>
      <c r="D12" s="36">
        <f>+E54*D6</f>
        <v>371217.6</v>
      </c>
      <c r="T12" s="37"/>
    </row>
    <row r="13" spans="2:20" ht="15" customHeight="1">
      <c r="B13" s="144" t="s">
        <v>26</v>
      </c>
      <c r="C13" s="144"/>
      <c r="D13" s="39">
        <f>+D11-D12</f>
        <v>918582.4</v>
      </c>
      <c r="G13" s="145" t="s">
        <v>36</v>
      </c>
      <c r="H13" s="145"/>
      <c r="I13" s="40">
        <f>+I54</f>
        <v>1124534.4695603021</v>
      </c>
      <c r="T13" s="37"/>
    </row>
    <row r="14" spans="2:20" ht="15" customHeight="1">
      <c r="T14" s="37"/>
    </row>
    <row r="15" spans="2:20" ht="15" customHeight="1">
      <c r="T15" s="37"/>
    </row>
    <row r="16" spans="2:20" ht="15" customHeight="1">
      <c r="B16" s="146" t="s">
        <v>53</v>
      </c>
      <c r="C16" s="147" t="s">
        <v>54</v>
      </c>
      <c r="D16" s="147" t="str">
        <f>+"GST on Rentals @ "&amp;+D7*100&amp;"%"</f>
        <v>GST on Rentals @ 18%</v>
      </c>
      <c r="E16" s="148" t="s">
        <v>55</v>
      </c>
      <c r="G16" s="146" t="s">
        <v>53</v>
      </c>
      <c r="H16" s="146"/>
      <c r="I16" s="148" t="s">
        <v>55</v>
      </c>
      <c r="T16" s="37"/>
    </row>
    <row r="17" spans="2:20" ht="15" customHeight="1">
      <c r="B17" s="146"/>
      <c r="C17" s="147"/>
      <c r="D17" s="147"/>
      <c r="E17" s="148"/>
      <c r="G17" s="146"/>
      <c r="H17" s="146"/>
      <c r="I17" s="148"/>
      <c r="T17" s="37"/>
    </row>
    <row r="18" spans="2:20" ht="15" customHeight="1">
      <c r="B18" s="41">
        <v>1</v>
      </c>
      <c r="C18" s="42">
        <f>+$D$4*$D$9/100000</f>
        <v>28008.474576271186</v>
      </c>
      <c r="D18" s="42">
        <f>+C18*$D$7</f>
        <v>5041.5254237288136</v>
      </c>
      <c r="E18" s="43">
        <f>+C18+D18</f>
        <v>33050</v>
      </c>
      <c r="G18" s="149">
        <v>1</v>
      </c>
      <c r="H18" s="149"/>
      <c r="I18" s="44">
        <f>+I8</f>
        <v>31237.068598897273</v>
      </c>
      <c r="T18" s="37"/>
    </row>
    <row r="19" spans="2:20" ht="15" customHeight="1">
      <c r="B19" s="45">
        <f>+B18+1</f>
        <v>2</v>
      </c>
      <c r="C19" s="46">
        <f>+C18</f>
        <v>28008.474576271186</v>
      </c>
      <c r="D19" s="46">
        <f>+C19*$D$7</f>
        <v>5041.5254237288136</v>
      </c>
      <c r="E19" s="47">
        <f>+C19+D19</f>
        <v>33050</v>
      </c>
      <c r="G19" s="150">
        <f>+G18+1</f>
        <v>2</v>
      </c>
      <c r="H19" s="150"/>
      <c r="I19" s="48">
        <f>+I18</f>
        <v>31237.068598897273</v>
      </c>
      <c r="T19" s="37"/>
    </row>
    <row r="20" spans="2:20">
      <c r="B20" s="45">
        <f>+B19+1</f>
        <v>3</v>
      </c>
      <c r="C20" s="46">
        <f>+C19</f>
        <v>28008.474576271186</v>
      </c>
      <c r="D20" s="46">
        <f>+C20*$D$7</f>
        <v>5041.5254237288136</v>
      </c>
      <c r="E20" s="47">
        <f>+C20+D20</f>
        <v>33050</v>
      </c>
      <c r="G20" s="150">
        <f>+G19+1</f>
        <v>3</v>
      </c>
      <c r="H20" s="150"/>
      <c r="I20" s="48">
        <f>+I19</f>
        <v>31237.068598897273</v>
      </c>
      <c r="T20" s="37"/>
    </row>
    <row r="21" spans="2:20">
      <c r="B21" s="45">
        <f>+B20+1</f>
        <v>4</v>
      </c>
      <c r="C21" s="46">
        <f>+C20</f>
        <v>28008.474576271186</v>
      </c>
      <c r="D21" s="46">
        <f>+C21*$D$7</f>
        <v>5041.5254237288136</v>
      </c>
      <c r="E21" s="47">
        <f>+C21+D21</f>
        <v>33050</v>
      </c>
      <c r="G21" s="150">
        <f>+G20+1</f>
        <v>4</v>
      </c>
      <c r="H21" s="150"/>
      <c r="I21" s="48">
        <f>+I20</f>
        <v>31237.068598897273</v>
      </c>
      <c r="T21" s="37"/>
    </row>
    <row r="22" spans="2:20">
      <c r="B22" s="45">
        <f>+B21+1</f>
        <v>5</v>
      </c>
      <c r="C22" s="46">
        <f>+C21</f>
        <v>28008.474576271186</v>
      </c>
      <c r="D22" s="46">
        <f>+C22*$D$7</f>
        <v>5041.5254237288136</v>
      </c>
      <c r="E22" s="47">
        <f>+C22+D22</f>
        <v>33050</v>
      </c>
      <c r="G22" s="150">
        <f>+G21+1</f>
        <v>5</v>
      </c>
      <c r="H22" s="150"/>
      <c r="I22" s="48">
        <f>+I21</f>
        <v>31237.068598897273</v>
      </c>
      <c r="T22" s="37"/>
    </row>
    <row r="23" spans="2:20">
      <c r="B23" s="45">
        <f>+B22+1</f>
        <v>6</v>
      </c>
      <c r="C23" s="46">
        <f>+C22</f>
        <v>28008.474576271186</v>
      </c>
      <c r="D23" s="46">
        <f>+C23*$D$7</f>
        <v>5041.5254237288136</v>
      </c>
      <c r="E23" s="47">
        <f>+C23+D23</f>
        <v>33050</v>
      </c>
      <c r="G23" s="150">
        <f>+G22+1</f>
        <v>6</v>
      </c>
      <c r="H23" s="150"/>
      <c r="I23" s="48">
        <f>+I22</f>
        <v>31237.068598897273</v>
      </c>
      <c r="T23" s="37"/>
    </row>
    <row r="24" spans="2:20">
      <c r="B24" s="45">
        <f>+B23+1</f>
        <v>7</v>
      </c>
      <c r="C24" s="46">
        <f>+C23</f>
        <v>28008.474576271186</v>
      </c>
      <c r="D24" s="46">
        <f>+C24*$D$7</f>
        <v>5041.5254237288136</v>
      </c>
      <c r="E24" s="47">
        <f>+C24+D24</f>
        <v>33050</v>
      </c>
      <c r="G24" s="150">
        <f>+G23+1</f>
        <v>7</v>
      </c>
      <c r="H24" s="150"/>
      <c r="I24" s="48">
        <f>+I23</f>
        <v>31237.068598897273</v>
      </c>
      <c r="T24" s="37"/>
    </row>
    <row r="25" spans="2:20" ht="15" customHeight="1">
      <c r="B25" s="45">
        <f>+B24+1</f>
        <v>8</v>
      </c>
      <c r="C25" s="46">
        <f>+C24</f>
        <v>28008.474576271186</v>
      </c>
      <c r="D25" s="46">
        <f>+C25*$D$7</f>
        <v>5041.5254237288136</v>
      </c>
      <c r="E25" s="47">
        <f>+C25+D25</f>
        <v>33050</v>
      </c>
      <c r="G25" s="150">
        <f>+G24+1</f>
        <v>8</v>
      </c>
      <c r="H25" s="150"/>
      <c r="I25" s="48">
        <f>+I24</f>
        <v>31237.068598897273</v>
      </c>
      <c r="T25" s="37"/>
    </row>
    <row r="26" spans="2:20">
      <c r="B26" s="45">
        <f>+B25+1</f>
        <v>9</v>
      </c>
      <c r="C26" s="46">
        <f>+C25</f>
        <v>28008.474576271186</v>
      </c>
      <c r="D26" s="46">
        <f>+C26*$D$7</f>
        <v>5041.5254237288136</v>
      </c>
      <c r="E26" s="47">
        <f>+C26+D26</f>
        <v>33050</v>
      </c>
      <c r="G26" s="150">
        <f>+G25+1</f>
        <v>9</v>
      </c>
      <c r="H26" s="150"/>
      <c r="I26" s="48">
        <f>+I25</f>
        <v>31237.068598897273</v>
      </c>
      <c r="T26" s="37"/>
    </row>
    <row r="27" spans="2:20">
      <c r="B27" s="45">
        <f>+B26+1</f>
        <v>10</v>
      </c>
      <c r="C27" s="46">
        <f>+C26</f>
        <v>28008.474576271186</v>
      </c>
      <c r="D27" s="46">
        <f>+C27*$D$7</f>
        <v>5041.5254237288136</v>
      </c>
      <c r="E27" s="47">
        <f>+C27+D27</f>
        <v>33050</v>
      </c>
      <c r="G27" s="150">
        <f>+G26+1</f>
        <v>10</v>
      </c>
      <c r="H27" s="150"/>
      <c r="I27" s="48">
        <f>+I26</f>
        <v>31237.068598897273</v>
      </c>
      <c r="T27" s="37"/>
    </row>
    <row r="28" spans="2:20">
      <c r="B28" s="45">
        <f>+B27+1</f>
        <v>11</v>
      </c>
      <c r="C28" s="46">
        <f>+C27</f>
        <v>28008.474576271186</v>
      </c>
      <c r="D28" s="46">
        <f>+C28*$D$7</f>
        <v>5041.5254237288136</v>
      </c>
      <c r="E28" s="47">
        <f>+C28+D28</f>
        <v>33050</v>
      </c>
      <c r="G28" s="150">
        <f>+G27+1</f>
        <v>11</v>
      </c>
      <c r="H28" s="150"/>
      <c r="I28" s="48">
        <f>+I27</f>
        <v>31237.068598897273</v>
      </c>
      <c r="T28" s="37"/>
    </row>
    <row r="29" spans="2:20">
      <c r="B29" s="45">
        <f>+B28+1</f>
        <v>12</v>
      </c>
      <c r="C29" s="46">
        <f>+C28</f>
        <v>28008.474576271186</v>
      </c>
      <c r="D29" s="46">
        <f>+C29*$D$7</f>
        <v>5041.5254237288136</v>
      </c>
      <c r="E29" s="47">
        <f>+C29+D29</f>
        <v>33050</v>
      </c>
      <c r="G29" s="150">
        <f>+G28+1</f>
        <v>12</v>
      </c>
      <c r="H29" s="150"/>
      <c r="I29" s="48">
        <f>+I28</f>
        <v>31237.068598897273</v>
      </c>
      <c r="T29" s="37"/>
    </row>
    <row r="30" spans="2:20">
      <c r="B30" s="45">
        <f>+B29+1</f>
        <v>13</v>
      </c>
      <c r="C30" s="46">
        <f>+C29</f>
        <v>28008.474576271186</v>
      </c>
      <c r="D30" s="46">
        <f>+C30*$D$7</f>
        <v>5041.5254237288136</v>
      </c>
      <c r="E30" s="47">
        <f>+C30+D30</f>
        <v>33050</v>
      </c>
      <c r="G30" s="150">
        <f>+G29+1</f>
        <v>13</v>
      </c>
      <c r="H30" s="150"/>
      <c r="I30" s="48">
        <f>+I29</f>
        <v>31237.068598897273</v>
      </c>
      <c r="T30" s="37"/>
    </row>
    <row r="31" spans="2:20">
      <c r="B31" s="45">
        <f>+B30+1</f>
        <v>14</v>
      </c>
      <c r="C31" s="46">
        <f>+C30</f>
        <v>28008.474576271186</v>
      </c>
      <c r="D31" s="46">
        <f>+C31*$D$7</f>
        <v>5041.5254237288136</v>
      </c>
      <c r="E31" s="47">
        <f>+C31+D31</f>
        <v>33050</v>
      </c>
      <c r="G31" s="150">
        <f>+G30+1</f>
        <v>14</v>
      </c>
      <c r="H31" s="150"/>
      <c r="I31" s="48">
        <f>+I30</f>
        <v>31237.068598897273</v>
      </c>
      <c r="T31" s="37"/>
    </row>
    <row r="32" spans="2:20">
      <c r="B32" s="45">
        <f>+B31+1</f>
        <v>15</v>
      </c>
      <c r="C32" s="46">
        <f>+C31</f>
        <v>28008.474576271186</v>
      </c>
      <c r="D32" s="46">
        <f>+C32*$D$7</f>
        <v>5041.5254237288136</v>
      </c>
      <c r="E32" s="47">
        <f>+C32+D32</f>
        <v>33050</v>
      </c>
      <c r="G32" s="150">
        <f>+G31+1</f>
        <v>15</v>
      </c>
      <c r="H32" s="150"/>
      <c r="I32" s="48">
        <f>+I31</f>
        <v>31237.068598897273</v>
      </c>
      <c r="T32" s="37"/>
    </row>
    <row r="33" spans="2:20">
      <c r="B33" s="45">
        <f>+B32+1</f>
        <v>16</v>
      </c>
      <c r="C33" s="46">
        <f>+C32</f>
        <v>28008.474576271186</v>
      </c>
      <c r="D33" s="46">
        <f>+C33*$D$7</f>
        <v>5041.5254237288136</v>
      </c>
      <c r="E33" s="47">
        <f>+C33+D33</f>
        <v>33050</v>
      </c>
      <c r="G33" s="150">
        <f>+G32+1</f>
        <v>16</v>
      </c>
      <c r="H33" s="150"/>
      <c r="I33" s="48">
        <f>+I32</f>
        <v>31237.068598897273</v>
      </c>
      <c r="T33" s="37"/>
    </row>
    <row r="34" spans="2:20">
      <c r="B34" s="45">
        <f>+B33+1</f>
        <v>17</v>
      </c>
      <c r="C34" s="46">
        <f>+C33</f>
        <v>28008.474576271186</v>
      </c>
      <c r="D34" s="46">
        <f>+C34*$D$7</f>
        <v>5041.5254237288136</v>
      </c>
      <c r="E34" s="47">
        <f>+C34+D34</f>
        <v>33050</v>
      </c>
      <c r="G34" s="150">
        <f>+G33+1</f>
        <v>17</v>
      </c>
      <c r="H34" s="150"/>
      <c r="I34" s="48">
        <f>+I33</f>
        <v>31237.068598897273</v>
      </c>
      <c r="T34" s="37"/>
    </row>
    <row r="35" spans="2:20">
      <c r="B35" s="45">
        <f>+B34+1</f>
        <v>18</v>
      </c>
      <c r="C35" s="46">
        <f>+C34</f>
        <v>28008.474576271186</v>
      </c>
      <c r="D35" s="46">
        <f>+C35*$D$7</f>
        <v>5041.5254237288136</v>
      </c>
      <c r="E35" s="47">
        <f>+C35+D35</f>
        <v>33050</v>
      </c>
      <c r="G35" s="150">
        <f>+G34+1</f>
        <v>18</v>
      </c>
      <c r="H35" s="150"/>
      <c r="I35" s="48">
        <f>+I34</f>
        <v>31237.068598897273</v>
      </c>
      <c r="T35" s="37"/>
    </row>
    <row r="36" spans="2:20">
      <c r="B36" s="45">
        <f>+B35+1</f>
        <v>19</v>
      </c>
      <c r="C36" s="46">
        <f>+C35</f>
        <v>28008.474576271186</v>
      </c>
      <c r="D36" s="46">
        <f>+C36*$D$7</f>
        <v>5041.5254237288136</v>
      </c>
      <c r="E36" s="47">
        <f>+C36+D36</f>
        <v>33050</v>
      </c>
      <c r="G36" s="150">
        <f>+G35+1</f>
        <v>19</v>
      </c>
      <c r="H36" s="150"/>
      <c r="I36" s="48">
        <f>+I35</f>
        <v>31237.068598897273</v>
      </c>
      <c r="T36" s="37"/>
    </row>
    <row r="37" spans="2:20">
      <c r="B37" s="45">
        <f>+B36+1</f>
        <v>20</v>
      </c>
      <c r="C37" s="46">
        <f>+C36</f>
        <v>28008.474576271186</v>
      </c>
      <c r="D37" s="46">
        <f>+C37*$D$7</f>
        <v>5041.5254237288136</v>
      </c>
      <c r="E37" s="47">
        <f>+C37+D37</f>
        <v>33050</v>
      </c>
      <c r="G37" s="150">
        <f>+G36+1</f>
        <v>20</v>
      </c>
      <c r="H37" s="150"/>
      <c r="I37" s="48">
        <f>+I36</f>
        <v>31237.068598897273</v>
      </c>
      <c r="T37" s="37"/>
    </row>
    <row r="38" spans="2:20">
      <c r="B38" s="45">
        <f>+B37+1</f>
        <v>21</v>
      </c>
      <c r="C38" s="46">
        <f>+C37</f>
        <v>28008.474576271186</v>
      </c>
      <c r="D38" s="46">
        <f>+C38*$D$7</f>
        <v>5041.5254237288136</v>
      </c>
      <c r="E38" s="47">
        <f>+C38+D38</f>
        <v>33050</v>
      </c>
      <c r="G38" s="150">
        <f>+G37+1</f>
        <v>21</v>
      </c>
      <c r="H38" s="150"/>
      <c r="I38" s="48">
        <f>+I37</f>
        <v>31237.068598897273</v>
      </c>
      <c r="T38" s="37"/>
    </row>
    <row r="39" spans="2:20">
      <c r="B39" s="45">
        <f>+B38+1</f>
        <v>22</v>
      </c>
      <c r="C39" s="46">
        <f>+C38</f>
        <v>28008.474576271186</v>
      </c>
      <c r="D39" s="46">
        <f>+C39*$D$7</f>
        <v>5041.5254237288136</v>
      </c>
      <c r="E39" s="47">
        <f>+C39+D39</f>
        <v>33050</v>
      </c>
      <c r="G39" s="150">
        <f>+G38+1</f>
        <v>22</v>
      </c>
      <c r="H39" s="150"/>
      <c r="I39" s="48">
        <f>+I38</f>
        <v>31237.068598897273</v>
      </c>
      <c r="T39" s="37"/>
    </row>
    <row r="40" spans="2:20">
      <c r="B40" s="45">
        <f>+B39+1</f>
        <v>23</v>
      </c>
      <c r="C40" s="46">
        <f>+C39</f>
        <v>28008.474576271186</v>
      </c>
      <c r="D40" s="46">
        <f>+C40*$D$7</f>
        <v>5041.5254237288136</v>
      </c>
      <c r="E40" s="47">
        <f>+C40+D40</f>
        <v>33050</v>
      </c>
      <c r="G40" s="150">
        <f>+G39+1</f>
        <v>23</v>
      </c>
      <c r="H40" s="150"/>
      <c r="I40" s="48">
        <f>+I39</f>
        <v>31237.068598897273</v>
      </c>
      <c r="T40" s="37"/>
    </row>
    <row r="41" spans="2:20">
      <c r="B41" s="45">
        <f>+B40+1</f>
        <v>24</v>
      </c>
      <c r="C41" s="46">
        <f>+C40</f>
        <v>28008.474576271186</v>
      </c>
      <c r="D41" s="46">
        <f>+C41*$D$7</f>
        <v>5041.5254237288136</v>
      </c>
      <c r="E41" s="47">
        <f>+C41+D41</f>
        <v>33050</v>
      </c>
      <c r="G41" s="150">
        <f>+G40+1</f>
        <v>24</v>
      </c>
      <c r="H41" s="150"/>
      <c r="I41" s="48">
        <f>+I40</f>
        <v>31237.068598897273</v>
      </c>
      <c r="T41" s="37"/>
    </row>
    <row r="42" spans="2:20">
      <c r="B42" s="45">
        <f>+B41+1</f>
        <v>25</v>
      </c>
      <c r="C42" s="46">
        <f>+C41</f>
        <v>28008.474576271186</v>
      </c>
      <c r="D42" s="46">
        <f>+C42*$D$7</f>
        <v>5041.5254237288136</v>
      </c>
      <c r="E42" s="47">
        <f>+C42+D42</f>
        <v>33050</v>
      </c>
      <c r="G42" s="150">
        <f>+G41+1</f>
        <v>25</v>
      </c>
      <c r="H42" s="150"/>
      <c r="I42" s="48">
        <f>+I41</f>
        <v>31237.068598897273</v>
      </c>
      <c r="T42" s="37"/>
    </row>
    <row r="43" spans="2:20">
      <c r="B43" s="45">
        <f>+B42+1</f>
        <v>26</v>
      </c>
      <c r="C43" s="46">
        <f>+C42</f>
        <v>28008.474576271186</v>
      </c>
      <c r="D43" s="46">
        <f>+C43*$D$7</f>
        <v>5041.5254237288136</v>
      </c>
      <c r="E43" s="47">
        <f>+C43+D43</f>
        <v>33050</v>
      </c>
      <c r="G43" s="150">
        <f>+G42+1</f>
        <v>26</v>
      </c>
      <c r="H43" s="150"/>
      <c r="I43" s="48">
        <f>+I42</f>
        <v>31237.068598897273</v>
      </c>
      <c r="T43" s="37"/>
    </row>
    <row r="44" spans="2:20">
      <c r="B44" s="45">
        <f>+B43+1</f>
        <v>27</v>
      </c>
      <c r="C44" s="46">
        <f>+C43</f>
        <v>28008.474576271186</v>
      </c>
      <c r="D44" s="46">
        <f>+C44*$D$7</f>
        <v>5041.5254237288136</v>
      </c>
      <c r="E44" s="47">
        <f>+C44+D44</f>
        <v>33050</v>
      </c>
      <c r="G44" s="150">
        <f>+G43+1</f>
        <v>27</v>
      </c>
      <c r="H44" s="150"/>
      <c r="I44" s="48">
        <f>+I43</f>
        <v>31237.068598897273</v>
      </c>
      <c r="T44" s="37"/>
    </row>
    <row r="45" spans="2:20">
      <c r="B45" s="45">
        <f>+B44+1</f>
        <v>28</v>
      </c>
      <c r="C45" s="46">
        <f>+C44</f>
        <v>28008.474576271186</v>
      </c>
      <c r="D45" s="46">
        <f>+C45*$D$7</f>
        <v>5041.5254237288136</v>
      </c>
      <c r="E45" s="47">
        <f>+C45+D45</f>
        <v>33050</v>
      </c>
      <c r="G45" s="150">
        <f>+G44+1</f>
        <v>28</v>
      </c>
      <c r="H45" s="150"/>
      <c r="I45" s="48">
        <f>+I44</f>
        <v>31237.068598897273</v>
      </c>
      <c r="T45" s="37"/>
    </row>
    <row r="46" spans="2:20">
      <c r="B46" s="45">
        <f>+B45+1</f>
        <v>29</v>
      </c>
      <c r="C46" s="46">
        <f>+C45</f>
        <v>28008.474576271186</v>
      </c>
      <c r="D46" s="46">
        <f>+C46*$D$7</f>
        <v>5041.5254237288136</v>
      </c>
      <c r="E46" s="47">
        <f>+C46+D46</f>
        <v>33050</v>
      </c>
      <c r="G46" s="150">
        <f>+G45+1</f>
        <v>29</v>
      </c>
      <c r="H46" s="150"/>
      <c r="I46" s="48">
        <f>+I45</f>
        <v>31237.068598897273</v>
      </c>
      <c r="T46" s="37"/>
    </row>
    <row r="47" spans="2:20">
      <c r="B47" s="45">
        <f>+B46+1</f>
        <v>30</v>
      </c>
      <c r="C47" s="46">
        <f>+C46</f>
        <v>28008.474576271186</v>
      </c>
      <c r="D47" s="46">
        <f>+C47*$D$7</f>
        <v>5041.5254237288136</v>
      </c>
      <c r="E47" s="47">
        <f>+C47+D47</f>
        <v>33050</v>
      </c>
      <c r="G47" s="150">
        <f>+G46+1</f>
        <v>30</v>
      </c>
      <c r="H47" s="150"/>
      <c r="I47" s="48">
        <f>+I46</f>
        <v>31237.068598897273</v>
      </c>
    </row>
    <row r="48" spans="2:20">
      <c r="B48" s="45">
        <f>+B47+1</f>
        <v>31</v>
      </c>
      <c r="C48" s="46">
        <f>+C47</f>
        <v>28008.474576271186</v>
      </c>
      <c r="D48" s="46">
        <f>+C48*$D$7</f>
        <v>5041.5254237288136</v>
      </c>
      <c r="E48" s="47">
        <f>+C48+D48</f>
        <v>33050</v>
      </c>
      <c r="G48" s="150">
        <f>+G47+1</f>
        <v>31</v>
      </c>
      <c r="H48" s="150"/>
      <c r="I48" s="48">
        <f>+I47</f>
        <v>31237.068598897273</v>
      </c>
    </row>
    <row r="49" spans="2:9">
      <c r="B49" s="45">
        <f>+B48+1</f>
        <v>32</v>
      </c>
      <c r="C49" s="46">
        <f>+C48</f>
        <v>28008.474576271186</v>
      </c>
      <c r="D49" s="46">
        <f>+C49*$D$7</f>
        <v>5041.5254237288136</v>
      </c>
      <c r="E49" s="47">
        <f>+C49+D49</f>
        <v>33050</v>
      </c>
      <c r="G49" s="150">
        <f>+G48+1</f>
        <v>32</v>
      </c>
      <c r="H49" s="150"/>
      <c r="I49" s="48">
        <f>+I48</f>
        <v>31237.068598897273</v>
      </c>
    </row>
    <row r="50" spans="2:9">
      <c r="B50" s="45">
        <f>+B49+1</f>
        <v>33</v>
      </c>
      <c r="C50" s="46">
        <f>+C49</f>
        <v>28008.474576271186</v>
      </c>
      <c r="D50" s="46">
        <f>+C50*$D$7</f>
        <v>5041.5254237288136</v>
      </c>
      <c r="E50" s="47">
        <f>+C50+D50</f>
        <v>33050</v>
      </c>
      <c r="G50" s="150">
        <f>+G49+1</f>
        <v>33</v>
      </c>
      <c r="H50" s="150"/>
      <c r="I50" s="48">
        <f>+I49</f>
        <v>31237.068598897273</v>
      </c>
    </row>
    <row r="51" spans="2:9">
      <c r="B51" s="45">
        <f>+B50+1</f>
        <v>34</v>
      </c>
      <c r="C51" s="46">
        <f>+C50</f>
        <v>28008.474576271186</v>
      </c>
      <c r="D51" s="46">
        <f>+C51*$D$7</f>
        <v>5041.5254237288136</v>
      </c>
      <c r="E51" s="47">
        <f>+C51+D51</f>
        <v>33050</v>
      </c>
      <c r="G51" s="150">
        <f>+G50+1</f>
        <v>34</v>
      </c>
      <c r="H51" s="150"/>
      <c r="I51" s="48">
        <f>+I50</f>
        <v>31237.068598897273</v>
      </c>
    </row>
    <row r="52" spans="2:9">
      <c r="B52" s="45">
        <f>+B51+1</f>
        <v>35</v>
      </c>
      <c r="C52" s="46">
        <f>+C51</f>
        <v>28008.474576271186</v>
      </c>
      <c r="D52" s="46">
        <f>+C52*$D$7</f>
        <v>5041.5254237288136</v>
      </c>
      <c r="E52" s="47">
        <f>+C52+D52</f>
        <v>33050</v>
      </c>
      <c r="G52" s="150">
        <f>+G51+1</f>
        <v>35</v>
      </c>
      <c r="H52" s="150"/>
      <c r="I52" s="48">
        <f>+I51</f>
        <v>31237.068598897273</v>
      </c>
    </row>
    <row r="53" spans="2:9">
      <c r="B53" s="45">
        <f>+B52+1</f>
        <v>36</v>
      </c>
      <c r="C53" s="46">
        <f>+C52</f>
        <v>28008.474576271186</v>
      </c>
      <c r="D53" s="46">
        <f>+C53*$D$7</f>
        <v>5041.5254237288136</v>
      </c>
      <c r="E53" s="47">
        <f>+C53+D53</f>
        <v>33050</v>
      </c>
      <c r="G53" s="151">
        <f>+G52+1</f>
        <v>36</v>
      </c>
      <c r="H53" s="151"/>
      <c r="I53" s="49">
        <f>+I52</f>
        <v>31237.068598897273</v>
      </c>
    </row>
    <row r="54" spans="2:9">
      <c r="B54" s="50"/>
      <c r="C54" s="42">
        <f>SUM(C18:C53)</f>
        <v>1008305.0847457621</v>
      </c>
      <c r="D54" s="42">
        <f>SUM(D18:D53)</f>
        <v>181494.91525423725</v>
      </c>
      <c r="E54" s="43">
        <f>SUM(E18:E53)</f>
        <v>1189800</v>
      </c>
      <c r="G54" s="152" t="s">
        <v>56</v>
      </c>
      <c r="H54" s="152"/>
      <c r="I54" s="51">
        <f>+SUM(I18:I53)</f>
        <v>1124534.4695603021</v>
      </c>
    </row>
    <row r="55" spans="2:9">
      <c r="B55" s="52" t="s">
        <v>24</v>
      </c>
      <c r="C55" s="53">
        <f>+D9*D8</f>
        <v>84745.762711864416</v>
      </c>
      <c r="D55" s="53">
        <f>C55*$D$7</f>
        <v>15254.237288135595</v>
      </c>
      <c r="E55" s="54">
        <f>+C55+D55</f>
        <v>100000.00000000001</v>
      </c>
    </row>
    <row r="56" spans="2:9">
      <c r="B56" s="55" t="s">
        <v>56</v>
      </c>
      <c r="C56" s="56"/>
      <c r="D56" s="57"/>
      <c r="E56" s="51">
        <f>+E54+E55</f>
        <v>1289800</v>
      </c>
    </row>
  </sheetData>
  <mergeCells count="60">
    <mergeCell ref="G52:H52"/>
    <mergeCell ref="G53:H53"/>
    <mergeCell ref="G54:H54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I16:I17"/>
    <mergeCell ref="G18:H18"/>
    <mergeCell ref="G19:H19"/>
    <mergeCell ref="G20:H20"/>
    <mergeCell ref="G21:H21"/>
    <mergeCell ref="B16:B17"/>
    <mergeCell ref="C16:C17"/>
    <mergeCell ref="D16:D17"/>
    <mergeCell ref="E16:E17"/>
    <mergeCell ref="G16:H17"/>
    <mergeCell ref="B9:C9"/>
    <mergeCell ref="B11:C11"/>
    <mergeCell ref="B12:C12"/>
    <mergeCell ref="B13:C13"/>
    <mergeCell ref="G13:H13"/>
    <mergeCell ref="B6:C6"/>
    <mergeCell ref="G6:H6"/>
    <mergeCell ref="B7:C7"/>
    <mergeCell ref="G7:H7"/>
    <mergeCell ref="B8:C8"/>
    <mergeCell ref="G8:H8"/>
    <mergeCell ref="B2:E2"/>
    <mergeCell ref="G2:I2"/>
    <mergeCell ref="B4:C4"/>
    <mergeCell ref="G4:H4"/>
    <mergeCell ref="B5:C5"/>
    <mergeCell ref="G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68"/>
  <sheetViews>
    <sheetView showGridLines="0" zoomScaleNormal="100" workbookViewId="0">
      <selection activeCell="D5" sqref="D5"/>
    </sheetView>
  </sheetViews>
  <sheetFormatPr defaultColWidth="9.140625" defaultRowHeight="15" customHeight="1"/>
  <cols>
    <col min="1" max="1" width="9.140625" style="23"/>
    <col min="2" max="2" width="14.140625" style="23" customWidth="1"/>
    <col min="3" max="3" width="16.140625" style="23" customWidth="1"/>
    <col min="4" max="4" width="14.140625" style="23" customWidth="1"/>
    <col min="5" max="5" width="14" style="23" customWidth="1"/>
    <col min="6" max="6" width="9.140625" style="23"/>
    <col min="7" max="7" width="11.28515625" style="23" customWidth="1"/>
    <col min="8" max="8" width="14.5703125" style="23" customWidth="1"/>
    <col min="9" max="9" width="12.28515625" style="23" customWidth="1"/>
    <col min="10" max="10" width="9.140625" style="23"/>
    <col min="11" max="11" width="12.140625" style="23" customWidth="1"/>
    <col min="12" max="12" width="11.5703125" style="23" customWidth="1"/>
    <col min="13" max="13" width="11.85546875" style="23" customWidth="1"/>
    <col min="14" max="15" width="9.140625" style="23"/>
    <col min="16" max="16" width="11.5703125" style="23" hidden="1" customWidth="1"/>
    <col min="17" max="19" width="9.140625" style="23"/>
    <col min="20" max="20" width="9.85546875" style="23" customWidth="1"/>
    <col min="21" max="16384" width="9.140625" style="23"/>
  </cols>
  <sheetData>
    <row r="2" spans="2:20" ht="15" customHeight="1">
      <c r="B2" s="138" t="s">
        <v>40</v>
      </c>
      <c r="C2" s="138"/>
      <c r="D2" s="138"/>
      <c r="E2" s="138"/>
      <c r="G2" s="138" t="s">
        <v>41</v>
      </c>
      <c r="H2" s="138"/>
      <c r="I2" s="138"/>
      <c r="P2" s="58">
        <v>0.28999999999999998</v>
      </c>
    </row>
    <row r="3" spans="2:20" ht="15" customHeight="1">
      <c r="P3" s="58">
        <v>0.31</v>
      </c>
    </row>
    <row r="4" spans="2:20" ht="15" customHeight="1">
      <c r="B4" s="139" t="s">
        <v>42</v>
      </c>
      <c r="C4" s="139"/>
      <c r="D4" s="25">
        <f>+IF(D7&gt;0.18,2770,2720)</f>
        <v>2720</v>
      </c>
      <c r="G4" s="139" t="s">
        <v>43</v>
      </c>
      <c r="H4" s="139"/>
      <c r="I4" s="25">
        <f>Summary!D18</f>
        <v>1000000</v>
      </c>
      <c r="P4" s="58">
        <v>0.43</v>
      </c>
    </row>
    <row r="5" spans="2:20" ht="15" customHeight="1">
      <c r="B5" s="140" t="s">
        <v>44</v>
      </c>
      <c r="C5" s="140"/>
      <c r="D5" s="26">
        <v>48</v>
      </c>
      <c r="G5" s="140" t="s">
        <v>44</v>
      </c>
      <c r="H5" s="140"/>
      <c r="I5" s="26">
        <f>+D5</f>
        <v>48</v>
      </c>
      <c r="P5" s="58">
        <v>0.45</v>
      </c>
    </row>
    <row r="6" spans="2:20" ht="15" customHeight="1">
      <c r="B6" s="140" t="s">
        <v>45</v>
      </c>
      <c r="C6" s="140"/>
      <c r="D6" s="27">
        <f>Summary!D22</f>
        <v>0.312</v>
      </c>
      <c r="G6" s="140" t="s">
        <v>45</v>
      </c>
      <c r="H6" s="140"/>
      <c r="I6" s="28">
        <v>0.312</v>
      </c>
      <c r="O6" s="29"/>
      <c r="P6" s="30">
        <v>0.48</v>
      </c>
      <c r="Q6" s="29"/>
      <c r="R6" s="31"/>
    </row>
    <row r="7" spans="2:20" ht="15" customHeight="1">
      <c r="B7" s="140" t="s">
        <v>46</v>
      </c>
      <c r="C7" s="140"/>
      <c r="D7" s="32">
        <f>Summary!D21</f>
        <v>0.18</v>
      </c>
      <c r="G7" s="140" t="s">
        <v>47</v>
      </c>
      <c r="H7" s="140"/>
      <c r="I7" s="33">
        <f>Summary!D23</f>
        <v>8.2500000000000004E-2</v>
      </c>
      <c r="O7" s="29"/>
      <c r="P7" s="30">
        <v>0.5</v>
      </c>
      <c r="Q7" s="29"/>
      <c r="R7" s="34"/>
    </row>
    <row r="8" spans="2:20" ht="15" customHeight="1">
      <c r="B8" s="140" t="s">
        <v>48</v>
      </c>
      <c r="C8" s="140"/>
      <c r="D8" s="35">
        <v>0.05</v>
      </c>
      <c r="G8" s="141" t="s">
        <v>49</v>
      </c>
      <c r="H8" s="141"/>
      <c r="I8" s="36">
        <f>PMT(I7/12,I5,-I4,0,1)</f>
        <v>24362.947669379249</v>
      </c>
      <c r="R8" s="31"/>
    </row>
    <row r="9" spans="2:20" ht="15" customHeight="1">
      <c r="B9" s="141" t="s">
        <v>50</v>
      </c>
      <c r="C9" s="141"/>
      <c r="D9" s="36">
        <f>Summary!D19</f>
        <v>847457.62711864407</v>
      </c>
      <c r="R9" s="31"/>
    </row>
    <row r="10" spans="2:20" ht="15" customHeight="1">
      <c r="R10" s="31"/>
      <c r="T10" s="37"/>
    </row>
    <row r="11" spans="2:20" ht="15" customHeight="1">
      <c r="B11" s="142" t="s">
        <v>51</v>
      </c>
      <c r="C11" s="142"/>
      <c r="D11" s="38">
        <f>+E68</f>
        <v>1355600</v>
      </c>
      <c r="T11" s="37"/>
    </row>
    <row r="12" spans="2:20" ht="15" customHeight="1">
      <c r="B12" s="143" t="s">
        <v>52</v>
      </c>
      <c r="C12" s="143"/>
      <c r="D12" s="36">
        <f>+E66*D6</f>
        <v>407347.20000000001</v>
      </c>
      <c r="T12" s="37"/>
    </row>
    <row r="13" spans="2:20" ht="15" customHeight="1">
      <c r="B13" s="144" t="s">
        <v>26</v>
      </c>
      <c r="C13" s="144"/>
      <c r="D13" s="39">
        <f>+D11-D12</f>
        <v>948252.8</v>
      </c>
      <c r="E13" s="37">
        <f>I13-D13</f>
        <v>221168.68813020457</v>
      </c>
      <c r="G13" s="145" t="s">
        <v>36</v>
      </c>
      <c r="H13" s="145"/>
      <c r="I13" s="40">
        <f>+I66</f>
        <v>1169421.4881302046</v>
      </c>
      <c r="T13" s="37"/>
    </row>
    <row r="14" spans="2:20" ht="15" customHeight="1">
      <c r="T14" s="37"/>
    </row>
    <row r="15" spans="2:20" ht="15" customHeight="1">
      <c r="T15" s="37"/>
    </row>
    <row r="16" spans="2:20" ht="15" customHeight="1">
      <c r="B16" s="146" t="s">
        <v>53</v>
      </c>
      <c r="C16" s="147" t="s">
        <v>54</v>
      </c>
      <c r="D16" s="147" t="str">
        <f>+"GST on Rentals @ "&amp;+D7*100&amp;"%"</f>
        <v>GST on Rentals @ 18%</v>
      </c>
      <c r="E16" s="148" t="s">
        <v>55</v>
      </c>
      <c r="G16" s="146" t="s">
        <v>53</v>
      </c>
      <c r="H16" s="146"/>
      <c r="I16" s="148" t="s">
        <v>55</v>
      </c>
      <c r="T16" s="37"/>
    </row>
    <row r="17" spans="2:20" ht="15" customHeight="1">
      <c r="B17" s="146"/>
      <c r="C17" s="147"/>
      <c r="D17" s="147"/>
      <c r="E17" s="148"/>
      <c r="G17" s="146"/>
      <c r="H17" s="146"/>
      <c r="I17" s="148"/>
      <c r="T17" s="37"/>
    </row>
    <row r="18" spans="2:20" ht="15" customHeight="1">
      <c r="B18" s="41">
        <v>1</v>
      </c>
      <c r="C18" s="42">
        <f>+$D$4*$D$9/100000</f>
        <v>23050.847457627118</v>
      </c>
      <c r="D18" s="42">
        <f>+C18*$D$7</f>
        <v>4149.1525423728808</v>
      </c>
      <c r="E18" s="43">
        <f>+C18+D18</f>
        <v>27200</v>
      </c>
      <c r="G18" s="149">
        <v>1</v>
      </c>
      <c r="H18" s="149"/>
      <c r="I18" s="44">
        <f>+I8</f>
        <v>24362.947669379249</v>
      </c>
      <c r="T18" s="37"/>
    </row>
    <row r="19" spans="2:20" ht="15" customHeight="1">
      <c r="B19" s="45">
        <f>+B18+1</f>
        <v>2</v>
      </c>
      <c r="C19" s="46">
        <f>+C18</f>
        <v>23050.847457627118</v>
      </c>
      <c r="D19" s="46">
        <f>+C19*$D$7</f>
        <v>4149.1525423728808</v>
      </c>
      <c r="E19" s="47">
        <f>+C19+D19</f>
        <v>27200</v>
      </c>
      <c r="G19" s="150">
        <f>+G18+1</f>
        <v>2</v>
      </c>
      <c r="H19" s="150"/>
      <c r="I19" s="48">
        <f>+I18</f>
        <v>24362.947669379249</v>
      </c>
      <c r="T19" s="37"/>
    </row>
    <row r="20" spans="2:20">
      <c r="B20" s="45">
        <f>+B19+1</f>
        <v>3</v>
      </c>
      <c r="C20" s="46">
        <f>+C19</f>
        <v>23050.847457627118</v>
      </c>
      <c r="D20" s="46">
        <f>+C20*$D$7</f>
        <v>4149.1525423728808</v>
      </c>
      <c r="E20" s="47">
        <f>+C20+D20</f>
        <v>27200</v>
      </c>
      <c r="G20" s="150">
        <f>+G19+1</f>
        <v>3</v>
      </c>
      <c r="H20" s="150"/>
      <c r="I20" s="48">
        <f>+I19</f>
        <v>24362.947669379249</v>
      </c>
      <c r="T20" s="37"/>
    </row>
    <row r="21" spans="2:20">
      <c r="B21" s="45">
        <f>+B20+1</f>
        <v>4</v>
      </c>
      <c r="C21" s="46">
        <f>+C20</f>
        <v>23050.847457627118</v>
      </c>
      <c r="D21" s="46">
        <f>+C21*$D$7</f>
        <v>4149.1525423728808</v>
      </c>
      <c r="E21" s="47">
        <f>+C21+D21</f>
        <v>27200</v>
      </c>
      <c r="G21" s="150">
        <f>+G20+1</f>
        <v>4</v>
      </c>
      <c r="H21" s="150"/>
      <c r="I21" s="48">
        <f>+I20</f>
        <v>24362.947669379249</v>
      </c>
      <c r="T21" s="37"/>
    </row>
    <row r="22" spans="2:20">
      <c r="B22" s="45">
        <f>+B21+1</f>
        <v>5</v>
      </c>
      <c r="C22" s="46">
        <f>+C21</f>
        <v>23050.847457627118</v>
      </c>
      <c r="D22" s="46">
        <f>+C22*$D$7</f>
        <v>4149.1525423728808</v>
      </c>
      <c r="E22" s="47">
        <f>+C22+D22</f>
        <v>27200</v>
      </c>
      <c r="G22" s="150">
        <f>+G21+1</f>
        <v>5</v>
      </c>
      <c r="H22" s="150"/>
      <c r="I22" s="48">
        <f>+I21</f>
        <v>24362.947669379249</v>
      </c>
      <c r="T22" s="37"/>
    </row>
    <row r="23" spans="2:20">
      <c r="B23" s="45">
        <f>+B22+1</f>
        <v>6</v>
      </c>
      <c r="C23" s="46">
        <f>+C22</f>
        <v>23050.847457627118</v>
      </c>
      <c r="D23" s="46">
        <f>+C23*$D$7</f>
        <v>4149.1525423728808</v>
      </c>
      <c r="E23" s="47">
        <f>+C23+D23</f>
        <v>27200</v>
      </c>
      <c r="G23" s="150">
        <f>+G22+1</f>
        <v>6</v>
      </c>
      <c r="H23" s="150"/>
      <c r="I23" s="48">
        <f>+I22</f>
        <v>24362.947669379249</v>
      </c>
      <c r="T23" s="37"/>
    </row>
    <row r="24" spans="2:20">
      <c r="B24" s="45">
        <f>+B23+1</f>
        <v>7</v>
      </c>
      <c r="C24" s="46">
        <f>+C23</f>
        <v>23050.847457627118</v>
      </c>
      <c r="D24" s="46">
        <f>+C24*$D$7</f>
        <v>4149.1525423728808</v>
      </c>
      <c r="E24" s="47">
        <f>+C24+D24</f>
        <v>27200</v>
      </c>
      <c r="G24" s="150">
        <f>+G23+1</f>
        <v>7</v>
      </c>
      <c r="H24" s="150"/>
      <c r="I24" s="48">
        <f>+I23</f>
        <v>24362.947669379249</v>
      </c>
      <c r="T24" s="37"/>
    </row>
    <row r="25" spans="2:20" ht="15" customHeight="1">
      <c r="B25" s="45">
        <f>+B24+1</f>
        <v>8</v>
      </c>
      <c r="C25" s="46">
        <f>+C24</f>
        <v>23050.847457627118</v>
      </c>
      <c r="D25" s="46">
        <f>+C25*$D$7</f>
        <v>4149.1525423728808</v>
      </c>
      <c r="E25" s="47">
        <f>+C25+D25</f>
        <v>27200</v>
      </c>
      <c r="G25" s="150">
        <f>+G24+1</f>
        <v>8</v>
      </c>
      <c r="H25" s="150"/>
      <c r="I25" s="48">
        <f>+I24</f>
        <v>24362.947669379249</v>
      </c>
      <c r="T25" s="37"/>
    </row>
    <row r="26" spans="2:20">
      <c r="B26" s="45">
        <f>+B25+1</f>
        <v>9</v>
      </c>
      <c r="C26" s="46">
        <f>+C25</f>
        <v>23050.847457627118</v>
      </c>
      <c r="D26" s="46">
        <f>+C26*$D$7</f>
        <v>4149.1525423728808</v>
      </c>
      <c r="E26" s="47">
        <f>+C26+D26</f>
        <v>27200</v>
      </c>
      <c r="G26" s="150">
        <f>+G25+1</f>
        <v>9</v>
      </c>
      <c r="H26" s="150"/>
      <c r="I26" s="48">
        <f>+I25</f>
        <v>24362.947669379249</v>
      </c>
      <c r="T26" s="37"/>
    </row>
    <row r="27" spans="2:20">
      <c r="B27" s="45">
        <f>+B26+1</f>
        <v>10</v>
      </c>
      <c r="C27" s="46">
        <f>+C26</f>
        <v>23050.847457627118</v>
      </c>
      <c r="D27" s="46">
        <f>+C27*$D$7</f>
        <v>4149.1525423728808</v>
      </c>
      <c r="E27" s="47">
        <f>+C27+D27</f>
        <v>27200</v>
      </c>
      <c r="G27" s="150">
        <f>+G26+1</f>
        <v>10</v>
      </c>
      <c r="H27" s="150"/>
      <c r="I27" s="48">
        <f>+I26</f>
        <v>24362.947669379249</v>
      </c>
      <c r="T27" s="37"/>
    </row>
    <row r="28" spans="2:20">
      <c r="B28" s="45">
        <f>+B27+1</f>
        <v>11</v>
      </c>
      <c r="C28" s="46">
        <f>+C27</f>
        <v>23050.847457627118</v>
      </c>
      <c r="D28" s="46">
        <f>+C28*$D$7</f>
        <v>4149.1525423728808</v>
      </c>
      <c r="E28" s="47">
        <f>+C28+D28</f>
        <v>27200</v>
      </c>
      <c r="G28" s="150">
        <f>+G27+1</f>
        <v>11</v>
      </c>
      <c r="H28" s="150"/>
      <c r="I28" s="48">
        <f>+I27</f>
        <v>24362.947669379249</v>
      </c>
      <c r="T28" s="37"/>
    </row>
    <row r="29" spans="2:20">
      <c r="B29" s="45">
        <f>+B28+1</f>
        <v>12</v>
      </c>
      <c r="C29" s="46">
        <f>+C28</f>
        <v>23050.847457627118</v>
      </c>
      <c r="D29" s="46">
        <f>+C29*$D$7</f>
        <v>4149.1525423728808</v>
      </c>
      <c r="E29" s="47">
        <f>+C29+D29</f>
        <v>27200</v>
      </c>
      <c r="G29" s="150">
        <f>+G28+1</f>
        <v>12</v>
      </c>
      <c r="H29" s="150"/>
      <c r="I29" s="48">
        <f>+I28</f>
        <v>24362.947669379249</v>
      </c>
      <c r="T29" s="37"/>
    </row>
    <row r="30" spans="2:20">
      <c r="B30" s="45">
        <f>+B29+1</f>
        <v>13</v>
      </c>
      <c r="C30" s="46">
        <f>+C29</f>
        <v>23050.847457627118</v>
      </c>
      <c r="D30" s="46">
        <f>+C30*$D$7</f>
        <v>4149.1525423728808</v>
      </c>
      <c r="E30" s="47">
        <f>+C30+D30</f>
        <v>27200</v>
      </c>
      <c r="G30" s="150">
        <f>+G29+1</f>
        <v>13</v>
      </c>
      <c r="H30" s="150"/>
      <c r="I30" s="48">
        <f>+I29</f>
        <v>24362.947669379249</v>
      </c>
      <c r="T30" s="37"/>
    </row>
    <row r="31" spans="2:20">
      <c r="B31" s="45">
        <f>+B30+1</f>
        <v>14</v>
      </c>
      <c r="C31" s="46">
        <f>+C30</f>
        <v>23050.847457627118</v>
      </c>
      <c r="D31" s="46">
        <f>+C31*$D$7</f>
        <v>4149.1525423728808</v>
      </c>
      <c r="E31" s="47">
        <f>+C31+D31</f>
        <v>27200</v>
      </c>
      <c r="G31" s="150">
        <f>+G30+1</f>
        <v>14</v>
      </c>
      <c r="H31" s="150"/>
      <c r="I31" s="48">
        <f>+I30</f>
        <v>24362.947669379249</v>
      </c>
      <c r="T31" s="37"/>
    </row>
    <row r="32" spans="2:20">
      <c r="B32" s="45">
        <f>+B31+1</f>
        <v>15</v>
      </c>
      <c r="C32" s="46">
        <f>+C31</f>
        <v>23050.847457627118</v>
      </c>
      <c r="D32" s="46">
        <f>+C32*$D$7</f>
        <v>4149.1525423728808</v>
      </c>
      <c r="E32" s="47">
        <f>+C32+D32</f>
        <v>27200</v>
      </c>
      <c r="G32" s="150">
        <f>+G31+1</f>
        <v>15</v>
      </c>
      <c r="H32" s="150"/>
      <c r="I32" s="48">
        <f>+I31</f>
        <v>24362.947669379249</v>
      </c>
      <c r="T32" s="37"/>
    </row>
    <row r="33" spans="2:20">
      <c r="B33" s="45">
        <f>+B32+1</f>
        <v>16</v>
      </c>
      <c r="C33" s="46">
        <f>+C32</f>
        <v>23050.847457627118</v>
      </c>
      <c r="D33" s="46">
        <f>+C33*$D$7</f>
        <v>4149.1525423728808</v>
      </c>
      <c r="E33" s="47">
        <f>+C33+D33</f>
        <v>27200</v>
      </c>
      <c r="G33" s="150">
        <f>+G32+1</f>
        <v>16</v>
      </c>
      <c r="H33" s="150"/>
      <c r="I33" s="48">
        <f>+I32</f>
        <v>24362.947669379249</v>
      </c>
      <c r="T33" s="37"/>
    </row>
    <row r="34" spans="2:20">
      <c r="B34" s="45">
        <f>+B33+1</f>
        <v>17</v>
      </c>
      <c r="C34" s="46">
        <f>+C33</f>
        <v>23050.847457627118</v>
      </c>
      <c r="D34" s="46">
        <f>+C34*$D$7</f>
        <v>4149.1525423728808</v>
      </c>
      <c r="E34" s="47">
        <f>+C34+D34</f>
        <v>27200</v>
      </c>
      <c r="G34" s="150">
        <f>+G33+1</f>
        <v>17</v>
      </c>
      <c r="H34" s="150"/>
      <c r="I34" s="48">
        <f>+I33</f>
        <v>24362.947669379249</v>
      </c>
      <c r="T34" s="37"/>
    </row>
    <row r="35" spans="2:20">
      <c r="B35" s="45">
        <f>+B34+1</f>
        <v>18</v>
      </c>
      <c r="C35" s="46">
        <f>+C34</f>
        <v>23050.847457627118</v>
      </c>
      <c r="D35" s="46">
        <f>+C35*$D$7</f>
        <v>4149.1525423728808</v>
      </c>
      <c r="E35" s="47">
        <f>+C35+D35</f>
        <v>27200</v>
      </c>
      <c r="G35" s="150">
        <f>+G34+1</f>
        <v>18</v>
      </c>
      <c r="H35" s="150"/>
      <c r="I35" s="48">
        <f>+I34</f>
        <v>24362.947669379249</v>
      </c>
      <c r="T35" s="37"/>
    </row>
    <row r="36" spans="2:20">
      <c r="B36" s="45">
        <f>+B35+1</f>
        <v>19</v>
      </c>
      <c r="C36" s="46">
        <f>+C35</f>
        <v>23050.847457627118</v>
      </c>
      <c r="D36" s="46">
        <f>+C36*$D$7</f>
        <v>4149.1525423728808</v>
      </c>
      <c r="E36" s="47">
        <f>+C36+D36</f>
        <v>27200</v>
      </c>
      <c r="G36" s="150">
        <f>+G35+1</f>
        <v>19</v>
      </c>
      <c r="H36" s="150"/>
      <c r="I36" s="48">
        <f>+I35</f>
        <v>24362.947669379249</v>
      </c>
      <c r="T36" s="37"/>
    </row>
    <row r="37" spans="2:20">
      <c r="B37" s="45">
        <f>+B36+1</f>
        <v>20</v>
      </c>
      <c r="C37" s="46">
        <f>+C36</f>
        <v>23050.847457627118</v>
      </c>
      <c r="D37" s="46">
        <f>+C37*$D$7</f>
        <v>4149.1525423728808</v>
      </c>
      <c r="E37" s="47">
        <f>+C37+D37</f>
        <v>27200</v>
      </c>
      <c r="G37" s="150">
        <f>+G36+1</f>
        <v>20</v>
      </c>
      <c r="H37" s="150"/>
      <c r="I37" s="48">
        <f>+I36</f>
        <v>24362.947669379249</v>
      </c>
      <c r="T37" s="37"/>
    </row>
    <row r="38" spans="2:20">
      <c r="B38" s="45">
        <f>+B37+1</f>
        <v>21</v>
      </c>
      <c r="C38" s="46">
        <f>+C37</f>
        <v>23050.847457627118</v>
      </c>
      <c r="D38" s="46">
        <f>+C38*$D$7</f>
        <v>4149.1525423728808</v>
      </c>
      <c r="E38" s="47">
        <f>+C38+D38</f>
        <v>27200</v>
      </c>
      <c r="G38" s="150">
        <f>+G37+1</f>
        <v>21</v>
      </c>
      <c r="H38" s="150"/>
      <c r="I38" s="48">
        <f>+I37</f>
        <v>24362.947669379249</v>
      </c>
      <c r="T38" s="37"/>
    </row>
    <row r="39" spans="2:20">
      <c r="B39" s="45">
        <f>+B38+1</f>
        <v>22</v>
      </c>
      <c r="C39" s="46">
        <f>+C38</f>
        <v>23050.847457627118</v>
      </c>
      <c r="D39" s="46">
        <f>+C39*$D$7</f>
        <v>4149.1525423728808</v>
      </c>
      <c r="E39" s="47">
        <f>+C39+D39</f>
        <v>27200</v>
      </c>
      <c r="G39" s="150">
        <f>+G38+1</f>
        <v>22</v>
      </c>
      <c r="H39" s="150"/>
      <c r="I39" s="48">
        <f>+I38</f>
        <v>24362.947669379249</v>
      </c>
      <c r="T39" s="37"/>
    </row>
    <row r="40" spans="2:20">
      <c r="B40" s="45">
        <f>+B39+1</f>
        <v>23</v>
      </c>
      <c r="C40" s="46">
        <f>+C39</f>
        <v>23050.847457627118</v>
      </c>
      <c r="D40" s="46">
        <f>+C40*$D$7</f>
        <v>4149.1525423728808</v>
      </c>
      <c r="E40" s="47">
        <f>+C40+D40</f>
        <v>27200</v>
      </c>
      <c r="G40" s="150">
        <f>+G39+1</f>
        <v>23</v>
      </c>
      <c r="H40" s="150"/>
      <c r="I40" s="48">
        <f>+I39</f>
        <v>24362.947669379249</v>
      </c>
      <c r="T40" s="37"/>
    </row>
    <row r="41" spans="2:20">
      <c r="B41" s="45">
        <f>+B40+1</f>
        <v>24</v>
      </c>
      <c r="C41" s="46">
        <f>+C40</f>
        <v>23050.847457627118</v>
      </c>
      <c r="D41" s="46">
        <f>+C41*$D$7</f>
        <v>4149.1525423728808</v>
      </c>
      <c r="E41" s="47">
        <f>+C41+D41</f>
        <v>27200</v>
      </c>
      <c r="G41" s="150">
        <f>+G40+1</f>
        <v>24</v>
      </c>
      <c r="H41" s="150"/>
      <c r="I41" s="48">
        <f>+I40</f>
        <v>24362.947669379249</v>
      </c>
      <c r="T41" s="37"/>
    </row>
    <row r="42" spans="2:20">
      <c r="B42" s="45">
        <f>+B41+1</f>
        <v>25</v>
      </c>
      <c r="C42" s="46">
        <f>+C41</f>
        <v>23050.847457627118</v>
      </c>
      <c r="D42" s="46">
        <f>+C42*$D$7</f>
        <v>4149.1525423728808</v>
      </c>
      <c r="E42" s="47">
        <f>+C42+D42</f>
        <v>27200</v>
      </c>
      <c r="G42" s="150">
        <f>+G41+1</f>
        <v>25</v>
      </c>
      <c r="H42" s="150"/>
      <c r="I42" s="48">
        <f>+I41</f>
        <v>24362.947669379249</v>
      </c>
      <c r="T42" s="37"/>
    </row>
    <row r="43" spans="2:20">
      <c r="B43" s="45">
        <f>+B42+1</f>
        <v>26</v>
      </c>
      <c r="C43" s="46">
        <f>+C42</f>
        <v>23050.847457627118</v>
      </c>
      <c r="D43" s="46">
        <f>+C43*$D$7</f>
        <v>4149.1525423728808</v>
      </c>
      <c r="E43" s="47">
        <f>+C43+D43</f>
        <v>27200</v>
      </c>
      <c r="G43" s="150">
        <f>+G42+1</f>
        <v>26</v>
      </c>
      <c r="H43" s="150"/>
      <c r="I43" s="48">
        <f>+I42</f>
        <v>24362.947669379249</v>
      </c>
      <c r="T43" s="37"/>
    </row>
    <row r="44" spans="2:20">
      <c r="B44" s="45">
        <f>+B43+1</f>
        <v>27</v>
      </c>
      <c r="C44" s="46">
        <f>+C43</f>
        <v>23050.847457627118</v>
      </c>
      <c r="D44" s="46">
        <f>+C44*$D$7</f>
        <v>4149.1525423728808</v>
      </c>
      <c r="E44" s="47">
        <f>+C44+D44</f>
        <v>27200</v>
      </c>
      <c r="G44" s="150">
        <f>+G43+1</f>
        <v>27</v>
      </c>
      <c r="H44" s="150"/>
      <c r="I44" s="48">
        <f>+I43</f>
        <v>24362.947669379249</v>
      </c>
      <c r="T44" s="37"/>
    </row>
    <row r="45" spans="2:20">
      <c r="B45" s="45">
        <f>+B44+1</f>
        <v>28</v>
      </c>
      <c r="C45" s="46">
        <f>+C44</f>
        <v>23050.847457627118</v>
      </c>
      <c r="D45" s="46">
        <f>+C45*$D$7</f>
        <v>4149.1525423728808</v>
      </c>
      <c r="E45" s="47">
        <f>+C45+D45</f>
        <v>27200</v>
      </c>
      <c r="G45" s="150">
        <f>+G44+1</f>
        <v>28</v>
      </c>
      <c r="H45" s="150"/>
      <c r="I45" s="48">
        <f>+I44</f>
        <v>24362.947669379249</v>
      </c>
      <c r="T45" s="37"/>
    </row>
    <row r="46" spans="2:20">
      <c r="B46" s="45">
        <f>+B45+1</f>
        <v>29</v>
      </c>
      <c r="C46" s="46">
        <f>+C45</f>
        <v>23050.847457627118</v>
      </c>
      <c r="D46" s="46">
        <f>+C46*$D$7</f>
        <v>4149.1525423728808</v>
      </c>
      <c r="E46" s="47">
        <f>+C46+D46</f>
        <v>27200</v>
      </c>
      <c r="G46" s="150">
        <f>+G45+1</f>
        <v>29</v>
      </c>
      <c r="H46" s="150"/>
      <c r="I46" s="48">
        <f>+I45</f>
        <v>24362.947669379249</v>
      </c>
      <c r="T46" s="37"/>
    </row>
    <row r="47" spans="2:20">
      <c r="B47" s="45">
        <f>+B46+1</f>
        <v>30</v>
      </c>
      <c r="C47" s="46">
        <f>+C46</f>
        <v>23050.847457627118</v>
      </c>
      <c r="D47" s="46">
        <f>+C47*$D$7</f>
        <v>4149.1525423728808</v>
      </c>
      <c r="E47" s="47">
        <f>+C47+D47</f>
        <v>27200</v>
      </c>
      <c r="G47" s="150">
        <f>+G46+1</f>
        <v>30</v>
      </c>
      <c r="H47" s="150"/>
      <c r="I47" s="48">
        <f>+I46</f>
        <v>24362.947669379249</v>
      </c>
      <c r="T47" s="37"/>
    </row>
    <row r="48" spans="2:20">
      <c r="B48" s="45">
        <f>+B47+1</f>
        <v>31</v>
      </c>
      <c r="C48" s="46">
        <f>+C47</f>
        <v>23050.847457627118</v>
      </c>
      <c r="D48" s="46">
        <f>+C48*$D$7</f>
        <v>4149.1525423728808</v>
      </c>
      <c r="E48" s="47">
        <f>+C48+D48</f>
        <v>27200</v>
      </c>
      <c r="G48" s="150">
        <f>+G47+1</f>
        <v>31</v>
      </c>
      <c r="H48" s="150"/>
      <c r="I48" s="48">
        <f>+I47</f>
        <v>24362.947669379249</v>
      </c>
      <c r="T48" s="37"/>
    </row>
    <row r="49" spans="2:20">
      <c r="B49" s="45">
        <f>+B48+1</f>
        <v>32</v>
      </c>
      <c r="C49" s="46">
        <f>+C48</f>
        <v>23050.847457627118</v>
      </c>
      <c r="D49" s="46">
        <f>+C49*$D$7</f>
        <v>4149.1525423728808</v>
      </c>
      <c r="E49" s="47">
        <f>+C49+D49</f>
        <v>27200</v>
      </c>
      <c r="G49" s="150">
        <f>+G48+1</f>
        <v>32</v>
      </c>
      <c r="H49" s="150"/>
      <c r="I49" s="48">
        <f>+I48</f>
        <v>24362.947669379249</v>
      </c>
      <c r="T49" s="37"/>
    </row>
    <row r="50" spans="2:20">
      <c r="B50" s="45">
        <f>+B49+1</f>
        <v>33</v>
      </c>
      <c r="C50" s="46">
        <f>+C49</f>
        <v>23050.847457627118</v>
      </c>
      <c r="D50" s="46">
        <f>+C50*$D$7</f>
        <v>4149.1525423728808</v>
      </c>
      <c r="E50" s="47">
        <f>+C50+D50</f>
        <v>27200</v>
      </c>
      <c r="G50" s="150">
        <f>+G49+1</f>
        <v>33</v>
      </c>
      <c r="H50" s="150"/>
      <c r="I50" s="48">
        <f>+I49</f>
        <v>24362.947669379249</v>
      </c>
      <c r="T50" s="37"/>
    </row>
    <row r="51" spans="2:20">
      <c r="B51" s="45">
        <f>+B50+1</f>
        <v>34</v>
      </c>
      <c r="C51" s="46">
        <f>+C50</f>
        <v>23050.847457627118</v>
      </c>
      <c r="D51" s="46">
        <f>+C51*$D$7</f>
        <v>4149.1525423728808</v>
      </c>
      <c r="E51" s="47">
        <f>+C51+D51</f>
        <v>27200</v>
      </c>
      <c r="G51" s="150">
        <f>+G50+1</f>
        <v>34</v>
      </c>
      <c r="H51" s="150"/>
      <c r="I51" s="48">
        <f>+I50</f>
        <v>24362.947669379249</v>
      </c>
      <c r="T51" s="37"/>
    </row>
    <row r="52" spans="2:20">
      <c r="B52" s="45">
        <f>+B51+1</f>
        <v>35</v>
      </c>
      <c r="C52" s="46">
        <f>+C51</f>
        <v>23050.847457627118</v>
      </c>
      <c r="D52" s="46">
        <f>+C52*$D$7</f>
        <v>4149.1525423728808</v>
      </c>
      <c r="E52" s="47">
        <f>+C52+D52</f>
        <v>27200</v>
      </c>
      <c r="G52" s="150">
        <f>+G51+1</f>
        <v>35</v>
      </c>
      <c r="H52" s="150"/>
      <c r="I52" s="48">
        <f>+I51</f>
        <v>24362.947669379249</v>
      </c>
      <c r="T52" s="37"/>
    </row>
    <row r="53" spans="2:20">
      <c r="B53" s="45">
        <f>+B52+1</f>
        <v>36</v>
      </c>
      <c r="C53" s="46">
        <f>+C52</f>
        <v>23050.847457627118</v>
      </c>
      <c r="D53" s="46">
        <f>+C53*$D$7</f>
        <v>4149.1525423728808</v>
      </c>
      <c r="E53" s="47">
        <f>+C53+D53</f>
        <v>27200</v>
      </c>
      <c r="G53" s="150">
        <f>+G52+1</f>
        <v>36</v>
      </c>
      <c r="H53" s="150"/>
      <c r="I53" s="48">
        <f>+I52</f>
        <v>24362.947669379249</v>
      </c>
      <c r="T53" s="37"/>
    </row>
    <row r="54" spans="2:20">
      <c r="B54" s="45">
        <f>+B53+1</f>
        <v>37</v>
      </c>
      <c r="C54" s="46">
        <f>+C53</f>
        <v>23050.847457627118</v>
      </c>
      <c r="D54" s="46">
        <f>+C54*$D$7</f>
        <v>4149.1525423728808</v>
      </c>
      <c r="E54" s="47">
        <f>+C54+D54</f>
        <v>27200</v>
      </c>
      <c r="G54" s="150">
        <f>+G53+1</f>
        <v>37</v>
      </c>
      <c r="H54" s="150"/>
      <c r="I54" s="48">
        <f>+I53</f>
        <v>24362.947669379249</v>
      </c>
      <c r="T54" s="37"/>
    </row>
    <row r="55" spans="2:20">
      <c r="B55" s="45">
        <f>+B54+1</f>
        <v>38</v>
      </c>
      <c r="C55" s="46">
        <f>+C54</f>
        <v>23050.847457627118</v>
      </c>
      <c r="D55" s="46">
        <f>+C55*$D$7</f>
        <v>4149.1525423728808</v>
      </c>
      <c r="E55" s="47">
        <f>+C55+D55</f>
        <v>27200</v>
      </c>
      <c r="G55" s="150">
        <f>+G54+1</f>
        <v>38</v>
      </c>
      <c r="H55" s="150"/>
      <c r="I55" s="48">
        <f>+I54</f>
        <v>24362.947669379249</v>
      </c>
      <c r="T55" s="37"/>
    </row>
    <row r="56" spans="2:20">
      <c r="B56" s="45">
        <f>+B55+1</f>
        <v>39</v>
      </c>
      <c r="C56" s="46">
        <f>+C55</f>
        <v>23050.847457627118</v>
      </c>
      <c r="D56" s="46">
        <f>+C56*$D$7</f>
        <v>4149.1525423728808</v>
      </c>
      <c r="E56" s="47">
        <f>+C56+D56</f>
        <v>27200</v>
      </c>
      <c r="G56" s="150">
        <f>+G55+1</f>
        <v>39</v>
      </c>
      <c r="H56" s="150"/>
      <c r="I56" s="48">
        <f>+I55</f>
        <v>24362.947669379249</v>
      </c>
      <c r="T56" s="37"/>
    </row>
    <row r="57" spans="2:20">
      <c r="B57" s="45">
        <f>+B56+1</f>
        <v>40</v>
      </c>
      <c r="C57" s="46">
        <f>+C56</f>
        <v>23050.847457627118</v>
      </c>
      <c r="D57" s="46">
        <f>+C57*$D$7</f>
        <v>4149.1525423728808</v>
      </c>
      <c r="E57" s="47">
        <f>+C57+D57</f>
        <v>27200</v>
      </c>
      <c r="G57" s="150">
        <f>+G56+1</f>
        <v>40</v>
      </c>
      <c r="H57" s="150"/>
      <c r="I57" s="48">
        <f>+I56</f>
        <v>24362.947669379249</v>
      </c>
      <c r="T57" s="37"/>
    </row>
    <row r="58" spans="2:20">
      <c r="B58" s="45">
        <f>+B57+1</f>
        <v>41</v>
      </c>
      <c r="C58" s="46">
        <f>+C57</f>
        <v>23050.847457627118</v>
      </c>
      <c r="D58" s="46">
        <f>+C58*$D$7</f>
        <v>4149.1525423728808</v>
      </c>
      <c r="E58" s="47">
        <f>+C58+D58</f>
        <v>27200</v>
      </c>
      <c r="G58" s="150">
        <f>+G57+1</f>
        <v>41</v>
      </c>
      <c r="H58" s="150"/>
      <c r="I58" s="48">
        <f>+I57</f>
        <v>24362.947669379249</v>
      </c>
      <c r="T58" s="37"/>
    </row>
    <row r="59" spans="2:20">
      <c r="B59" s="45">
        <f>+B58+1</f>
        <v>42</v>
      </c>
      <c r="C59" s="46">
        <f>+C58</f>
        <v>23050.847457627118</v>
      </c>
      <c r="D59" s="46">
        <f>+C59*$D$7</f>
        <v>4149.1525423728808</v>
      </c>
      <c r="E59" s="47">
        <f>+C59+D59</f>
        <v>27200</v>
      </c>
      <c r="G59" s="150">
        <f>+G58+1</f>
        <v>42</v>
      </c>
      <c r="H59" s="150"/>
      <c r="I59" s="48">
        <f>+I58</f>
        <v>24362.947669379249</v>
      </c>
    </row>
    <row r="60" spans="2:20">
      <c r="B60" s="45">
        <f>+B59+1</f>
        <v>43</v>
      </c>
      <c r="C60" s="46">
        <f>+C59</f>
        <v>23050.847457627118</v>
      </c>
      <c r="D60" s="46">
        <f>+C60*$D$7</f>
        <v>4149.1525423728808</v>
      </c>
      <c r="E60" s="47">
        <f>+C60+D60</f>
        <v>27200</v>
      </c>
      <c r="G60" s="150">
        <f>+G59+1</f>
        <v>43</v>
      </c>
      <c r="H60" s="150"/>
      <c r="I60" s="48">
        <f>+I59</f>
        <v>24362.947669379249</v>
      </c>
    </row>
    <row r="61" spans="2:20">
      <c r="B61" s="45">
        <f>+B60+1</f>
        <v>44</v>
      </c>
      <c r="C61" s="46">
        <f>+C60</f>
        <v>23050.847457627118</v>
      </c>
      <c r="D61" s="46">
        <f>+C61*$D$7</f>
        <v>4149.1525423728808</v>
      </c>
      <c r="E61" s="47">
        <f>+C61+D61</f>
        <v>27200</v>
      </c>
      <c r="G61" s="150">
        <f>+G60+1</f>
        <v>44</v>
      </c>
      <c r="H61" s="150"/>
      <c r="I61" s="48">
        <f>+I60</f>
        <v>24362.947669379249</v>
      </c>
    </row>
    <row r="62" spans="2:20">
      <c r="B62" s="45">
        <f>+B61+1</f>
        <v>45</v>
      </c>
      <c r="C62" s="46">
        <f>+C61</f>
        <v>23050.847457627118</v>
      </c>
      <c r="D62" s="46">
        <f>+C62*$D$7</f>
        <v>4149.1525423728808</v>
      </c>
      <c r="E62" s="47">
        <f>+C62+D62</f>
        <v>27200</v>
      </c>
      <c r="G62" s="150">
        <f>+G61+1</f>
        <v>45</v>
      </c>
      <c r="H62" s="150"/>
      <c r="I62" s="48">
        <f>+I61</f>
        <v>24362.947669379249</v>
      </c>
    </row>
    <row r="63" spans="2:20">
      <c r="B63" s="45">
        <f>+B62+1</f>
        <v>46</v>
      </c>
      <c r="C63" s="46">
        <f>+C62</f>
        <v>23050.847457627118</v>
      </c>
      <c r="D63" s="46">
        <f>+C63*$D$7</f>
        <v>4149.1525423728808</v>
      </c>
      <c r="E63" s="47">
        <f>+C63+D63</f>
        <v>27200</v>
      </c>
      <c r="G63" s="150">
        <f>+G62+1</f>
        <v>46</v>
      </c>
      <c r="H63" s="150"/>
      <c r="I63" s="48">
        <f>+I62</f>
        <v>24362.947669379249</v>
      </c>
    </row>
    <row r="64" spans="2:20">
      <c r="B64" s="45">
        <f>+B63+1</f>
        <v>47</v>
      </c>
      <c r="C64" s="46">
        <f>+C63</f>
        <v>23050.847457627118</v>
      </c>
      <c r="D64" s="46">
        <f>+C64*$D$7</f>
        <v>4149.1525423728808</v>
      </c>
      <c r="E64" s="47">
        <f>+C64+D64</f>
        <v>27200</v>
      </c>
      <c r="G64" s="150">
        <f>+G63+1</f>
        <v>47</v>
      </c>
      <c r="H64" s="150"/>
      <c r="I64" s="48">
        <f>+I63</f>
        <v>24362.947669379249</v>
      </c>
    </row>
    <row r="65" spans="2:9">
      <c r="B65" s="45">
        <f>+B64+1</f>
        <v>48</v>
      </c>
      <c r="C65" s="46">
        <f>+C64</f>
        <v>23050.847457627118</v>
      </c>
      <c r="D65" s="46">
        <f>+C65*$D$7</f>
        <v>4149.1525423728808</v>
      </c>
      <c r="E65" s="47">
        <f>+C65+D65</f>
        <v>27200</v>
      </c>
      <c r="G65" s="151">
        <f>+G64+1</f>
        <v>48</v>
      </c>
      <c r="H65" s="151"/>
      <c r="I65" s="49">
        <f>+I64</f>
        <v>24362.947669379249</v>
      </c>
    </row>
    <row r="66" spans="2:9">
      <c r="B66" s="50"/>
      <c r="C66" s="42">
        <f>SUM(C18:C65)</f>
        <v>1106440.6779661006</v>
      </c>
      <c r="D66" s="42">
        <f>SUM(D18:D65)</f>
        <v>199159.32203389809</v>
      </c>
      <c r="E66" s="43">
        <f>SUM(E18:E65)</f>
        <v>1305600</v>
      </c>
      <c r="G66" s="152" t="s">
        <v>56</v>
      </c>
      <c r="H66" s="152"/>
      <c r="I66" s="51">
        <f>+SUM(I18:I65)</f>
        <v>1169421.4881302046</v>
      </c>
    </row>
    <row r="67" spans="2:9">
      <c r="B67" s="52" t="s">
        <v>24</v>
      </c>
      <c r="C67" s="53">
        <f>+D9*D8</f>
        <v>42372.881355932208</v>
      </c>
      <c r="D67" s="53">
        <f>C67*$D$7</f>
        <v>7627.1186440677975</v>
      </c>
      <c r="E67" s="54">
        <f>+C67+D67</f>
        <v>50000.000000000007</v>
      </c>
    </row>
    <row r="68" spans="2:9">
      <c r="B68" s="55" t="s">
        <v>56</v>
      </c>
      <c r="C68" s="56"/>
      <c r="D68" s="57"/>
      <c r="E68" s="51">
        <f>+E66+E67</f>
        <v>1355600</v>
      </c>
    </row>
  </sheetData>
  <mergeCells count="72"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I16:I17"/>
    <mergeCell ref="G18:H18"/>
    <mergeCell ref="G19:H19"/>
    <mergeCell ref="G20:H20"/>
    <mergeCell ref="G21:H21"/>
    <mergeCell ref="B16:B17"/>
    <mergeCell ref="C16:C17"/>
    <mergeCell ref="D16:D17"/>
    <mergeCell ref="E16:E17"/>
    <mergeCell ref="G16:H17"/>
    <mergeCell ref="B9:C9"/>
    <mergeCell ref="B11:C11"/>
    <mergeCell ref="B12:C12"/>
    <mergeCell ref="B13:C13"/>
    <mergeCell ref="G13:H13"/>
    <mergeCell ref="B6:C6"/>
    <mergeCell ref="G6:H6"/>
    <mergeCell ref="B7:C7"/>
    <mergeCell ref="G7:H7"/>
    <mergeCell ref="B8:C8"/>
    <mergeCell ref="G8:H8"/>
    <mergeCell ref="B2:E2"/>
    <mergeCell ref="G2:I2"/>
    <mergeCell ref="B4:C4"/>
    <mergeCell ref="G4:H4"/>
    <mergeCell ref="B5:C5"/>
    <mergeCell ref="G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94"/>
  <sheetViews>
    <sheetView showGridLines="0" zoomScaleNormal="100" workbookViewId="0">
      <selection activeCell="D5" sqref="D5"/>
    </sheetView>
  </sheetViews>
  <sheetFormatPr defaultColWidth="9.140625" defaultRowHeight="15" customHeight="1"/>
  <cols>
    <col min="1" max="1" width="9.140625" style="23"/>
    <col min="2" max="2" width="14.140625" style="23" customWidth="1"/>
    <col min="3" max="3" width="16.85546875" style="23" customWidth="1"/>
    <col min="4" max="4" width="14.140625" style="23" customWidth="1"/>
    <col min="5" max="5" width="14" style="23" customWidth="1"/>
    <col min="6" max="6" width="9.140625" style="23"/>
    <col min="7" max="7" width="11.28515625" style="23" customWidth="1"/>
    <col min="8" max="8" width="14.5703125" style="23" customWidth="1"/>
    <col min="9" max="9" width="12.28515625" style="23" customWidth="1"/>
    <col min="10" max="10" width="9.140625" style="23"/>
    <col min="11" max="11" width="12.140625" style="23" customWidth="1"/>
    <col min="12" max="12" width="11.5703125" style="23" customWidth="1"/>
    <col min="13" max="13" width="11.85546875" style="23" customWidth="1"/>
    <col min="14" max="15" width="9.140625" style="23"/>
    <col min="16" max="16" width="11.5703125" style="23" hidden="1" customWidth="1"/>
    <col min="17" max="19" width="9.140625" style="23"/>
    <col min="20" max="20" width="9.85546875" style="23" customWidth="1"/>
    <col min="21" max="16384" width="9.140625" style="23"/>
  </cols>
  <sheetData>
    <row r="2" spans="2:20" ht="15" customHeight="1">
      <c r="B2" s="138" t="s">
        <v>40</v>
      </c>
      <c r="C2" s="138"/>
      <c r="D2" s="138"/>
      <c r="E2" s="138"/>
      <c r="G2" s="138" t="s">
        <v>41</v>
      </c>
      <c r="H2" s="138"/>
      <c r="I2" s="138"/>
      <c r="P2" s="58">
        <v>0.28999999999999998</v>
      </c>
    </row>
    <row r="3" spans="2:20" ht="15" customHeight="1">
      <c r="P3" s="58">
        <v>0.31</v>
      </c>
    </row>
    <row r="4" spans="2:20" ht="15" customHeight="1">
      <c r="B4" s="139" t="s">
        <v>42</v>
      </c>
      <c r="C4" s="139"/>
      <c r="D4" s="25">
        <f>+IF(D7&gt;0.18,2405,2355)</f>
        <v>2355</v>
      </c>
      <c r="G4" s="139" t="s">
        <v>43</v>
      </c>
      <c r="H4" s="139"/>
      <c r="I4" s="25">
        <f>Summary!D18</f>
        <v>1000000</v>
      </c>
      <c r="P4" s="58">
        <v>0.43</v>
      </c>
    </row>
    <row r="5" spans="2:20" ht="15" customHeight="1">
      <c r="B5" s="140" t="s">
        <v>44</v>
      </c>
      <c r="C5" s="140"/>
      <c r="D5" s="26">
        <v>60</v>
      </c>
      <c r="G5" s="140" t="s">
        <v>44</v>
      </c>
      <c r="H5" s="140"/>
      <c r="I5" s="26">
        <f>+D5</f>
        <v>60</v>
      </c>
      <c r="P5" s="58">
        <v>0.45</v>
      </c>
    </row>
    <row r="6" spans="2:20" ht="15" customHeight="1">
      <c r="B6" s="140" t="s">
        <v>45</v>
      </c>
      <c r="C6" s="140"/>
      <c r="D6" s="27">
        <f>Summary!D22</f>
        <v>0.312</v>
      </c>
      <c r="G6" s="140" t="s">
        <v>45</v>
      </c>
      <c r="H6" s="140"/>
      <c r="I6" s="28">
        <f>+D6</f>
        <v>0.312</v>
      </c>
      <c r="O6" s="29"/>
      <c r="P6" s="30">
        <v>0.48</v>
      </c>
      <c r="Q6" s="29"/>
      <c r="R6" s="31"/>
    </row>
    <row r="7" spans="2:20" ht="15" customHeight="1">
      <c r="B7" s="140" t="s">
        <v>46</v>
      </c>
      <c r="C7" s="140"/>
      <c r="D7" s="32">
        <f>Summary!D21</f>
        <v>0.18</v>
      </c>
      <c r="G7" s="140" t="s">
        <v>47</v>
      </c>
      <c r="H7" s="140"/>
      <c r="I7" s="33">
        <f>Summary!D23</f>
        <v>8.2500000000000004E-2</v>
      </c>
      <c r="O7" s="29"/>
      <c r="P7" s="30">
        <v>0.5</v>
      </c>
      <c r="Q7" s="29"/>
      <c r="R7" s="34"/>
    </row>
    <row r="8" spans="2:20" ht="15" customHeight="1">
      <c r="B8" s="140" t="s">
        <v>48</v>
      </c>
      <c r="C8" s="140"/>
      <c r="D8" s="35">
        <v>0.01</v>
      </c>
      <c r="G8" s="141" t="s">
        <v>49</v>
      </c>
      <c r="H8" s="141"/>
      <c r="I8" s="36">
        <f>PMT(I7/12,I5,-I4,0,1)</f>
        <v>20256.984894166661</v>
      </c>
      <c r="R8" s="31"/>
    </row>
    <row r="9" spans="2:20" ht="15" customHeight="1">
      <c r="B9" s="141" t="s">
        <v>50</v>
      </c>
      <c r="C9" s="141"/>
      <c r="D9" s="36">
        <f>Summary!D19</f>
        <v>847457.62711864407</v>
      </c>
      <c r="R9" s="31"/>
    </row>
    <row r="10" spans="2:20" ht="15" customHeight="1">
      <c r="R10" s="31"/>
      <c r="T10" s="37"/>
    </row>
    <row r="11" spans="2:20" ht="15" customHeight="1">
      <c r="B11" s="142" t="s">
        <v>51</v>
      </c>
      <c r="C11" s="142"/>
      <c r="D11" s="38">
        <f>+E80</f>
        <v>1423000</v>
      </c>
      <c r="T11" s="37"/>
    </row>
    <row r="12" spans="2:20" ht="15" customHeight="1">
      <c r="B12" s="143" t="s">
        <v>52</v>
      </c>
      <c r="C12" s="143"/>
      <c r="D12" s="36">
        <f>+E78*D6</f>
        <v>440856</v>
      </c>
      <c r="F12" s="37">
        <f>I13-D13</f>
        <v>233275.09365000087</v>
      </c>
      <c r="T12" s="37"/>
    </row>
    <row r="13" spans="2:20" ht="15" customHeight="1">
      <c r="B13" s="144" t="s">
        <v>26</v>
      </c>
      <c r="C13" s="144"/>
      <c r="D13" s="39">
        <f>+D11-D12</f>
        <v>982144</v>
      </c>
      <c r="G13" s="145" t="s">
        <v>36</v>
      </c>
      <c r="H13" s="145"/>
      <c r="I13" s="40">
        <f>+I78</f>
        <v>1215419.0936500009</v>
      </c>
      <c r="T13" s="37"/>
    </row>
    <row r="14" spans="2:20" ht="15" customHeight="1">
      <c r="T14" s="37"/>
    </row>
    <row r="15" spans="2:20" ht="15" customHeight="1">
      <c r="T15" s="37"/>
    </row>
    <row r="16" spans="2:20" ht="15" customHeight="1">
      <c r="B16" s="146" t="s">
        <v>53</v>
      </c>
      <c r="C16" s="147" t="s">
        <v>54</v>
      </c>
      <c r="D16" s="147" t="str">
        <f>+"GST on Rentals @ "&amp;+D7*100&amp;"%"</f>
        <v>GST on Rentals @ 18%</v>
      </c>
      <c r="E16" s="148" t="s">
        <v>55</v>
      </c>
      <c r="G16" s="146" t="s">
        <v>53</v>
      </c>
      <c r="H16" s="146"/>
      <c r="I16" s="148" t="s">
        <v>55</v>
      </c>
      <c r="T16" s="37"/>
    </row>
    <row r="17" spans="2:20" ht="15" customHeight="1">
      <c r="B17" s="146"/>
      <c r="C17" s="147"/>
      <c r="D17" s="147"/>
      <c r="E17" s="148"/>
      <c r="G17" s="146"/>
      <c r="H17" s="146"/>
      <c r="I17" s="148"/>
      <c r="T17" s="37"/>
    </row>
    <row r="18" spans="2:20" ht="15" customHeight="1">
      <c r="B18" s="41">
        <v>1</v>
      </c>
      <c r="C18" s="42">
        <f>+$D$4*$D$9/100000</f>
        <v>19957.627118644068</v>
      </c>
      <c r="D18" s="42">
        <f>+C18*$D$7</f>
        <v>3592.3728813559323</v>
      </c>
      <c r="E18" s="43">
        <f>+C18+D18</f>
        <v>23550</v>
      </c>
      <c r="G18" s="149">
        <v>1</v>
      </c>
      <c r="H18" s="149"/>
      <c r="I18" s="44">
        <f>+I8</f>
        <v>20256.984894166661</v>
      </c>
      <c r="T18" s="37"/>
    </row>
    <row r="19" spans="2:20" ht="15" customHeight="1">
      <c r="B19" s="45">
        <f>+B18+1</f>
        <v>2</v>
      </c>
      <c r="C19" s="46">
        <f>+C18</f>
        <v>19957.627118644068</v>
      </c>
      <c r="D19" s="46">
        <f>+C19*$D$7</f>
        <v>3592.3728813559323</v>
      </c>
      <c r="E19" s="47">
        <f>+C19+D19</f>
        <v>23550</v>
      </c>
      <c r="G19" s="150">
        <f>+G18+1</f>
        <v>2</v>
      </c>
      <c r="H19" s="150"/>
      <c r="I19" s="48">
        <f>+I18</f>
        <v>20256.984894166661</v>
      </c>
      <c r="T19" s="37"/>
    </row>
    <row r="20" spans="2:20">
      <c r="B20" s="45">
        <f>+B19+1</f>
        <v>3</v>
      </c>
      <c r="C20" s="46">
        <f>+C19</f>
        <v>19957.627118644068</v>
      </c>
      <c r="D20" s="46">
        <f>+C20*$D$7</f>
        <v>3592.3728813559323</v>
      </c>
      <c r="E20" s="47">
        <f>+C20+D20</f>
        <v>23550</v>
      </c>
      <c r="G20" s="150">
        <f>+G19+1</f>
        <v>3</v>
      </c>
      <c r="H20" s="150"/>
      <c r="I20" s="48">
        <f>+I19</f>
        <v>20256.984894166661</v>
      </c>
      <c r="T20" s="37"/>
    </row>
    <row r="21" spans="2:20">
      <c r="B21" s="45">
        <f>+B20+1</f>
        <v>4</v>
      </c>
      <c r="C21" s="46">
        <f>+C20</f>
        <v>19957.627118644068</v>
      </c>
      <c r="D21" s="46">
        <f>+C21*$D$7</f>
        <v>3592.3728813559323</v>
      </c>
      <c r="E21" s="47">
        <f>+C21+D21</f>
        <v>23550</v>
      </c>
      <c r="G21" s="150">
        <f>+G20+1</f>
        <v>4</v>
      </c>
      <c r="H21" s="150"/>
      <c r="I21" s="48">
        <f>+I20</f>
        <v>20256.984894166661</v>
      </c>
      <c r="T21" s="37"/>
    </row>
    <row r="22" spans="2:20">
      <c r="B22" s="45">
        <f>+B21+1</f>
        <v>5</v>
      </c>
      <c r="C22" s="46">
        <f>+C21</f>
        <v>19957.627118644068</v>
      </c>
      <c r="D22" s="46">
        <f>+C22*$D$7</f>
        <v>3592.3728813559323</v>
      </c>
      <c r="E22" s="47">
        <f>+C22+D22</f>
        <v>23550</v>
      </c>
      <c r="G22" s="150">
        <f>+G21+1</f>
        <v>5</v>
      </c>
      <c r="H22" s="150"/>
      <c r="I22" s="48">
        <f>+I21</f>
        <v>20256.984894166661</v>
      </c>
      <c r="T22" s="37"/>
    </row>
    <row r="23" spans="2:20">
      <c r="B23" s="45">
        <f>+B22+1</f>
        <v>6</v>
      </c>
      <c r="C23" s="46">
        <f>+C22</f>
        <v>19957.627118644068</v>
      </c>
      <c r="D23" s="46">
        <f>+C23*$D$7</f>
        <v>3592.3728813559323</v>
      </c>
      <c r="E23" s="47">
        <f>+C23+D23</f>
        <v>23550</v>
      </c>
      <c r="G23" s="150">
        <f>+G22+1</f>
        <v>6</v>
      </c>
      <c r="H23" s="150"/>
      <c r="I23" s="48">
        <f>+I22</f>
        <v>20256.984894166661</v>
      </c>
      <c r="T23" s="37"/>
    </row>
    <row r="24" spans="2:20">
      <c r="B24" s="45">
        <f>+B23+1</f>
        <v>7</v>
      </c>
      <c r="C24" s="46">
        <f>+C23</f>
        <v>19957.627118644068</v>
      </c>
      <c r="D24" s="46">
        <f>+C24*$D$7</f>
        <v>3592.3728813559323</v>
      </c>
      <c r="E24" s="47">
        <f>+C24+D24</f>
        <v>23550</v>
      </c>
      <c r="G24" s="150">
        <f>+G23+1</f>
        <v>7</v>
      </c>
      <c r="H24" s="150"/>
      <c r="I24" s="48">
        <f>+I23</f>
        <v>20256.984894166661</v>
      </c>
      <c r="T24" s="37"/>
    </row>
    <row r="25" spans="2:20" ht="15" customHeight="1">
      <c r="B25" s="45">
        <f>+B24+1</f>
        <v>8</v>
      </c>
      <c r="C25" s="46">
        <f>+C24</f>
        <v>19957.627118644068</v>
      </c>
      <c r="D25" s="46">
        <f>+C25*$D$7</f>
        <v>3592.3728813559323</v>
      </c>
      <c r="E25" s="47">
        <f>+C25+D25</f>
        <v>23550</v>
      </c>
      <c r="G25" s="150">
        <f>+G24+1</f>
        <v>8</v>
      </c>
      <c r="H25" s="150"/>
      <c r="I25" s="48">
        <f>+I24</f>
        <v>20256.984894166661</v>
      </c>
      <c r="T25" s="37"/>
    </row>
    <row r="26" spans="2:20">
      <c r="B26" s="45">
        <f>+B25+1</f>
        <v>9</v>
      </c>
      <c r="C26" s="46">
        <f>+C25</f>
        <v>19957.627118644068</v>
      </c>
      <c r="D26" s="46">
        <f>+C26*$D$7</f>
        <v>3592.3728813559323</v>
      </c>
      <c r="E26" s="47">
        <f>+C26+D26</f>
        <v>23550</v>
      </c>
      <c r="G26" s="150">
        <f>+G25+1</f>
        <v>9</v>
      </c>
      <c r="H26" s="150"/>
      <c r="I26" s="48">
        <f>+I25</f>
        <v>20256.984894166661</v>
      </c>
      <c r="T26" s="37"/>
    </row>
    <row r="27" spans="2:20">
      <c r="B27" s="45">
        <f>+B26+1</f>
        <v>10</v>
      </c>
      <c r="C27" s="46">
        <f>+C26</f>
        <v>19957.627118644068</v>
      </c>
      <c r="D27" s="46">
        <f>+C27*$D$7</f>
        <v>3592.3728813559323</v>
      </c>
      <c r="E27" s="47">
        <f>+C27+D27</f>
        <v>23550</v>
      </c>
      <c r="G27" s="150">
        <f>+G26+1</f>
        <v>10</v>
      </c>
      <c r="H27" s="150"/>
      <c r="I27" s="48">
        <f>+I26</f>
        <v>20256.984894166661</v>
      </c>
      <c r="T27" s="37"/>
    </row>
    <row r="28" spans="2:20">
      <c r="B28" s="45">
        <f>+B27+1</f>
        <v>11</v>
      </c>
      <c r="C28" s="46">
        <f>+C27</f>
        <v>19957.627118644068</v>
      </c>
      <c r="D28" s="46">
        <f>+C28*$D$7</f>
        <v>3592.3728813559323</v>
      </c>
      <c r="E28" s="47">
        <f>+C28+D28</f>
        <v>23550</v>
      </c>
      <c r="G28" s="150">
        <f>+G27+1</f>
        <v>11</v>
      </c>
      <c r="H28" s="150"/>
      <c r="I28" s="48">
        <f>+I27</f>
        <v>20256.984894166661</v>
      </c>
      <c r="T28" s="37"/>
    </row>
    <row r="29" spans="2:20">
      <c r="B29" s="45">
        <f>+B28+1</f>
        <v>12</v>
      </c>
      <c r="C29" s="46">
        <f>+C28</f>
        <v>19957.627118644068</v>
      </c>
      <c r="D29" s="46">
        <f>+C29*$D$7</f>
        <v>3592.3728813559323</v>
      </c>
      <c r="E29" s="47">
        <f>+C29+D29</f>
        <v>23550</v>
      </c>
      <c r="G29" s="150">
        <f>+G28+1</f>
        <v>12</v>
      </c>
      <c r="H29" s="150"/>
      <c r="I29" s="48">
        <f>+I28</f>
        <v>20256.984894166661</v>
      </c>
      <c r="T29" s="37"/>
    </row>
    <row r="30" spans="2:20">
      <c r="B30" s="45">
        <f>+B29+1</f>
        <v>13</v>
      </c>
      <c r="C30" s="46">
        <f>+C29</f>
        <v>19957.627118644068</v>
      </c>
      <c r="D30" s="46">
        <f>+C30*$D$7</f>
        <v>3592.3728813559323</v>
      </c>
      <c r="E30" s="47">
        <f>+C30+D30</f>
        <v>23550</v>
      </c>
      <c r="G30" s="150">
        <f>+G29+1</f>
        <v>13</v>
      </c>
      <c r="H30" s="150"/>
      <c r="I30" s="48">
        <f>+I29</f>
        <v>20256.984894166661</v>
      </c>
      <c r="T30" s="37"/>
    </row>
    <row r="31" spans="2:20">
      <c r="B31" s="45">
        <f>+B30+1</f>
        <v>14</v>
      </c>
      <c r="C31" s="46">
        <f>+C30</f>
        <v>19957.627118644068</v>
      </c>
      <c r="D31" s="46">
        <f>+C31*$D$7</f>
        <v>3592.3728813559323</v>
      </c>
      <c r="E31" s="47">
        <f>+C31+D31</f>
        <v>23550</v>
      </c>
      <c r="G31" s="150">
        <f>+G30+1</f>
        <v>14</v>
      </c>
      <c r="H31" s="150"/>
      <c r="I31" s="48">
        <f>+I30</f>
        <v>20256.984894166661</v>
      </c>
      <c r="T31" s="37"/>
    </row>
    <row r="32" spans="2:20">
      <c r="B32" s="45">
        <f>+B31+1</f>
        <v>15</v>
      </c>
      <c r="C32" s="46">
        <f>+C31</f>
        <v>19957.627118644068</v>
      </c>
      <c r="D32" s="46">
        <f>+C32*$D$7</f>
        <v>3592.3728813559323</v>
      </c>
      <c r="E32" s="47">
        <f>+C32+D32</f>
        <v>23550</v>
      </c>
      <c r="G32" s="150">
        <f>+G31+1</f>
        <v>15</v>
      </c>
      <c r="H32" s="150"/>
      <c r="I32" s="48">
        <f>+I31</f>
        <v>20256.984894166661</v>
      </c>
      <c r="T32" s="37"/>
    </row>
    <row r="33" spans="2:20">
      <c r="B33" s="45">
        <f>+B32+1</f>
        <v>16</v>
      </c>
      <c r="C33" s="46">
        <f>+C32</f>
        <v>19957.627118644068</v>
      </c>
      <c r="D33" s="46">
        <f>+C33*$D$7</f>
        <v>3592.3728813559323</v>
      </c>
      <c r="E33" s="47">
        <f>+C33+D33</f>
        <v>23550</v>
      </c>
      <c r="G33" s="150">
        <f>+G32+1</f>
        <v>16</v>
      </c>
      <c r="H33" s="150"/>
      <c r="I33" s="48">
        <f>+I32</f>
        <v>20256.984894166661</v>
      </c>
      <c r="T33" s="37"/>
    </row>
    <row r="34" spans="2:20">
      <c r="B34" s="45">
        <f>+B33+1</f>
        <v>17</v>
      </c>
      <c r="C34" s="46">
        <f>+C33</f>
        <v>19957.627118644068</v>
      </c>
      <c r="D34" s="46">
        <f>+C34*$D$7</f>
        <v>3592.3728813559323</v>
      </c>
      <c r="E34" s="47">
        <f>+C34+D34</f>
        <v>23550</v>
      </c>
      <c r="G34" s="150">
        <f>+G33+1</f>
        <v>17</v>
      </c>
      <c r="H34" s="150"/>
      <c r="I34" s="48">
        <f>+I33</f>
        <v>20256.984894166661</v>
      </c>
      <c r="T34" s="37"/>
    </row>
    <row r="35" spans="2:20">
      <c r="B35" s="45">
        <f>+B34+1</f>
        <v>18</v>
      </c>
      <c r="C35" s="46">
        <f>+C34</f>
        <v>19957.627118644068</v>
      </c>
      <c r="D35" s="46">
        <f>+C35*$D$7</f>
        <v>3592.3728813559323</v>
      </c>
      <c r="E35" s="47">
        <f>+C35+D35</f>
        <v>23550</v>
      </c>
      <c r="G35" s="150">
        <f>+G34+1</f>
        <v>18</v>
      </c>
      <c r="H35" s="150"/>
      <c r="I35" s="48">
        <f>+I34</f>
        <v>20256.984894166661</v>
      </c>
      <c r="T35" s="37"/>
    </row>
    <row r="36" spans="2:20">
      <c r="B36" s="45">
        <f>+B35+1</f>
        <v>19</v>
      </c>
      <c r="C36" s="46">
        <f>+C35</f>
        <v>19957.627118644068</v>
      </c>
      <c r="D36" s="46">
        <f>+C36*$D$7</f>
        <v>3592.3728813559323</v>
      </c>
      <c r="E36" s="47">
        <f>+C36+D36</f>
        <v>23550</v>
      </c>
      <c r="G36" s="150">
        <f>+G35+1</f>
        <v>19</v>
      </c>
      <c r="H36" s="150"/>
      <c r="I36" s="48">
        <f>+I35</f>
        <v>20256.984894166661</v>
      </c>
      <c r="T36" s="37"/>
    </row>
    <row r="37" spans="2:20">
      <c r="B37" s="45">
        <f>+B36+1</f>
        <v>20</v>
      </c>
      <c r="C37" s="46">
        <f>+C36</f>
        <v>19957.627118644068</v>
      </c>
      <c r="D37" s="46">
        <f>+C37*$D$7</f>
        <v>3592.3728813559323</v>
      </c>
      <c r="E37" s="47">
        <f>+C37+D37</f>
        <v>23550</v>
      </c>
      <c r="G37" s="150">
        <f>+G36+1</f>
        <v>20</v>
      </c>
      <c r="H37" s="150"/>
      <c r="I37" s="48">
        <f>+I36</f>
        <v>20256.984894166661</v>
      </c>
      <c r="T37" s="37"/>
    </row>
    <row r="38" spans="2:20">
      <c r="B38" s="45">
        <f>+B37+1</f>
        <v>21</v>
      </c>
      <c r="C38" s="46">
        <f>+C37</f>
        <v>19957.627118644068</v>
      </c>
      <c r="D38" s="46">
        <f>+C38*$D$7</f>
        <v>3592.3728813559323</v>
      </c>
      <c r="E38" s="47">
        <f>+C38+D38</f>
        <v>23550</v>
      </c>
      <c r="G38" s="150">
        <f>+G37+1</f>
        <v>21</v>
      </c>
      <c r="H38" s="150"/>
      <c r="I38" s="48">
        <f>+I37</f>
        <v>20256.984894166661</v>
      </c>
      <c r="T38" s="37"/>
    </row>
    <row r="39" spans="2:20">
      <c r="B39" s="45">
        <f>+B38+1</f>
        <v>22</v>
      </c>
      <c r="C39" s="46">
        <f>+C38</f>
        <v>19957.627118644068</v>
      </c>
      <c r="D39" s="46">
        <f>+C39*$D$7</f>
        <v>3592.3728813559323</v>
      </c>
      <c r="E39" s="47">
        <f>+C39+D39</f>
        <v>23550</v>
      </c>
      <c r="G39" s="150">
        <f>+G38+1</f>
        <v>22</v>
      </c>
      <c r="H39" s="150"/>
      <c r="I39" s="48">
        <f>+I38</f>
        <v>20256.984894166661</v>
      </c>
      <c r="T39" s="37"/>
    </row>
    <row r="40" spans="2:20">
      <c r="B40" s="45">
        <f>+B39+1</f>
        <v>23</v>
      </c>
      <c r="C40" s="46">
        <f>+C39</f>
        <v>19957.627118644068</v>
      </c>
      <c r="D40" s="46">
        <f>+C40*$D$7</f>
        <v>3592.3728813559323</v>
      </c>
      <c r="E40" s="47">
        <f>+C40+D40</f>
        <v>23550</v>
      </c>
      <c r="G40" s="150">
        <f>+G39+1</f>
        <v>23</v>
      </c>
      <c r="H40" s="150"/>
      <c r="I40" s="48">
        <f>+I39</f>
        <v>20256.984894166661</v>
      </c>
      <c r="T40" s="37"/>
    </row>
    <row r="41" spans="2:20">
      <c r="B41" s="45">
        <f>+B40+1</f>
        <v>24</v>
      </c>
      <c r="C41" s="46">
        <f>+C40</f>
        <v>19957.627118644068</v>
      </c>
      <c r="D41" s="46">
        <f>+C41*$D$7</f>
        <v>3592.3728813559323</v>
      </c>
      <c r="E41" s="47">
        <f>+C41+D41</f>
        <v>23550</v>
      </c>
      <c r="G41" s="150">
        <f>+G40+1</f>
        <v>24</v>
      </c>
      <c r="H41" s="150"/>
      <c r="I41" s="48">
        <f>+I40</f>
        <v>20256.984894166661</v>
      </c>
      <c r="T41" s="37"/>
    </row>
    <row r="42" spans="2:20">
      <c r="B42" s="45">
        <f>+B41+1</f>
        <v>25</v>
      </c>
      <c r="C42" s="46">
        <f>+C41</f>
        <v>19957.627118644068</v>
      </c>
      <c r="D42" s="46">
        <f>+C42*$D$7</f>
        <v>3592.3728813559323</v>
      </c>
      <c r="E42" s="47">
        <f>+C42+D42</f>
        <v>23550</v>
      </c>
      <c r="G42" s="150">
        <f>+G41+1</f>
        <v>25</v>
      </c>
      <c r="H42" s="150"/>
      <c r="I42" s="48">
        <f>+I41</f>
        <v>20256.984894166661</v>
      </c>
      <c r="T42" s="37"/>
    </row>
    <row r="43" spans="2:20">
      <c r="B43" s="45">
        <f>+B42+1</f>
        <v>26</v>
      </c>
      <c r="C43" s="46">
        <f>+C42</f>
        <v>19957.627118644068</v>
      </c>
      <c r="D43" s="46">
        <f>+C43*$D$7</f>
        <v>3592.3728813559323</v>
      </c>
      <c r="E43" s="47">
        <f>+C43+D43</f>
        <v>23550</v>
      </c>
      <c r="G43" s="150">
        <f>+G42+1</f>
        <v>26</v>
      </c>
      <c r="H43" s="150"/>
      <c r="I43" s="48">
        <f>+I42</f>
        <v>20256.984894166661</v>
      </c>
      <c r="T43" s="37"/>
    </row>
    <row r="44" spans="2:20">
      <c r="B44" s="45">
        <f>+B43+1</f>
        <v>27</v>
      </c>
      <c r="C44" s="46">
        <f>+C43</f>
        <v>19957.627118644068</v>
      </c>
      <c r="D44" s="46">
        <f>+C44*$D$7</f>
        <v>3592.3728813559323</v>
      </c>
      <c r="E44" s="47">
        <f>+C44+D44</f>
        <v>23550</v>
      </c>
      <c r="G44" s="150">
        <f>+G43+1</f>
        <v>27</v>
      </c>
      <c r="H44" s="150"/>
      <c r="I44" s="48">
        <f>+I43</f>
        <v>20256.984894166661</v>
      </c>
      <c r="T44" s="37"/>
    </row>
    <row r="45" spans="2:20">
      <c r="B45" s="45">
        <f>+B44+1</f>
        <v>28</v>
      </c>
      <c r="C45" s="46">
        <f>+C44</f>
        <v>19957.627118644068</v>
      </c>
      <c r="D45" s="46">
        <f>+C45*$D$7</f>
        <v>3592.3728813559323</v>
      </c>
      <c r="E45" s="47">
        <f>+C45+D45</f>
        <v>23550</v>
      </c>
      <c r="G45" s="150">
        <f>+G44+1</f>
        <v>28</v>
      </c>
      <c r="H45" s="150"/>
      <c r="I45" s="48">
        <f>+I44</f>
        <v>20256.984894166661</v>
      </c>
      <c r="T45" s="37"/>
    </row>
    <row r="46" spans="2:20">
      <c r="B46" s="45">
        <f>+B45+1</f>
        <v>29</v>
      </c>
      <c r="C46" s="46">
        <f>+C45</f>
        <v>19957.627118644068</v>
      </c>
      <c r="D46" s="46">
        <f>+C46*$D$7</f>
        <v>3592.3728813559323</v>
      </c>
      <c r="E46" s="47">
        <f>+C46+D46</f>
        <v>23550</v>
      </c>
      <c r="G46" s="150">
        <f>+G45+1</f>
        <v>29</v>
      </c>
      <c r="H46" s="150"/>
      <c r="I46" s="48">
        <f>+I45</f>
        <v>20256.984894166661</v>
      </c>
      <c r="T46" s="37"/>
    </row>
    <row r="47" spans="2:20">
      <c r="B47" s="45">
        <f>+B46+1</f>
        <v>30</v>
      </c>
      <c r="C47" s="46">
        <f>+C46</f>
        <v>19957.627118644068</v>
      </c>
      <c r="D47" s="46">
        <f>+C47*$D$7</f>
        <v>3592.3728813559323</v>
      </c>
      <c r="E47" s="47">
        <f>+C47+D47</f>
        <v>23550</v>
      </c>
      <c r="G47" s="150">
        <f>+G46+1</f>
        <v>30</v>
      </c>
      <c r="H47" s="150"/>
      <c r="I47" s="48">
        <f>+I46</f>
        <v>20256.984894166661</v>
      </c>
      <c r="T47" s="37"/>
    </row>
    <row r="48" spans="2:20">
      <c r="B48" s="45">
        <f>+B47+1</f>
        <v>31</v>
      </c>
      <c r="C48" s="46">
        <f>+C47</f>
        <v>19957.627118644068</v>
      </c>
      <c r="D48" s="46">
        <f>+C48*$D$7</f>
        <v>3592.3728813559323</v>
      </c>
      <c r="E48" s="47">
        <f>+C48+D48</f>
        <v>23550</v>
      </c>
      <c r="G48" s="150">
        <f>+G47+1</f>
        <v>31</v>
      </c>
      <c r="H48" s="150"/>
      <c r="I48" s="48">
        <f>+I47</f>
        <v>20256.984894166661</v>
      </c>
      <c r="T48" s="37"/>
    </row>
    <row r="49" spans="2:20">
      <c r="B49" s="45">
        <f>+B48+1</f>
        <v>32</v>
      </c>
      <c r="C49" s="46">
        <f>+C48</f>
        <v>19957.627118644068</v>
      </c>
      <c r="D49" s="46">
        <f>+C49*$D$7</f>
        <v>3592.3728813559323</v>
      </c>
      <c r="E49" s="47">
        <f>+C49+D49</f>
        <v>23550</v>
      </c>
      <c r="G49" s="150">
        <f>+G48+1</f>
        <v>32</v>
      </c>
      <c r="H49" s="150"/>
      <c r="I49" s="48">
        <f>+I48</f>
        <v>20256.984894166661</v>
      </c>
      <c r="T49" s="37"/>
    </row>
    <row r="50" spans="2:20">
      <c r="B50" s="45">
        <f>+B49+1</f>
        <v>33</v>
      </c>
      <c r="C50" s="46">
        <f>+C49</f>
        <v>19957.627118644068</v>
      </c>
      <c r="D50" s="46">
        <f>+C50*$D$7</f>
        <v>3592.3728813559323</v>
      </c>
      <c r="E50" s="47">
        <f>+C50+D50</f>
        <v>23550</v>
      </c>
      <c r="G50" s="150">
        <f>+G49+1</f>
        <v>33</v>
      </c>
      <c r="H50" s="150"/>
      <c r="I50" s="48">
        <f>+I49</f>
        <v>20256.984894166661</v>
      </c>
      <c r="T50" s="37"/>
    </row>
    <row r="51" spans="2:20">
      <c r="B51" s="45">
        <f>+B50+1</f>
        <v>34</v>
      </c>
      <c r="C51" s="46">
        <f>+C50</f>
        <v>19957.627118644068</v>
      </c>
      <c r="D51" s="46">
        <f>+C51*$D$7</f>
        <v>3592.3728813559323</v>
      </c>
      <c r="E51" s="47">
        <f>+C51+D51</f>
        <v>23550</v>
      </c>
      <c r="G51" s="150">
        <f>+G50+1</f>
        <v>34</v>
      </c>
      <c r="H51" s="150"/>
      <c r="I51" s="48">
        <f>+I50</f>
        <v>20256.984894166661</v>
      </c>
      <c r="T51" s="37"/>
    </row>
    <row r="52" spans="2:20">
      <c r="B52" s="45">
        <f>+B51+1</f>
        <v>35</v>
      </c>
      <c r="C52" s="46">
        <f>+C51</f>
        <v>19957.627118644068</v>
      </c>
      <c r="D52" s="46">
        <f>+C52*$D$7</f>
        <v>3592.3728813559323</v>
      </c>
      <c r="E52" s="47">
        <f>+C52+D52</f>
        <v>23550</v>
      </c>
      <c r="G52" s="150">
        <f>+G51+1</f>
        <v>35</v>
      </c>
      <c r="H52" s="150"/>
      <c r="I52" s="48">
        <f>+I51</f>
        <v>20256.984894166661</v>
      </c>
      <c r="T52" s="37"/>
    </row>
    <row r="53" spans="2:20">
      <c r="B53" s="45">
        <f>+B52+1</f>
        <v>36</v>
      </c>
      <c r="C53" s="46">
        <f>+C52</f>
        <v>19957.627118644068</v>
      </c>
      <c r="D53" s="46">
        <f>+C53*$D$7</f>
        <v>3592.3728813559323</v>
      </c>
      <c r="E53" s="47">
        <f>+C53+D53</f>
        <v>23550</v>
      </c>
      <c r="G53" s="150">
        <f>+G52+1</f>
        <v>36</v>
      </c>
      <c r="H53" s="150"/>
      <c r="I53" s="48">
        <f>+I52</f>
        <v>20256.984894166661</v>
      </c>
      <c r="T53" s="37"/>
    </row>
    <row r="54" spans="2:20">
      <c r="B54" s="45">
        <f>+B53+1</f>
        <v>37</v>
      </c>
      <c r="C54" s="46">
        <f>+C53</f>
        <v>19957.627118644068</v>
      </c>
      <c r="D54" s="46">
        <f>+C54*$D$7</f>
        <v>3592.3728813559323</v>
      </c>
      <c r="E54" s="47">
        <f>+C54+D54</f>
        <v>23550</v>
      </c>
      <c r="G54" s="150">
        <f>+G53+1</f>
        <v>37</v>
      </c>
      <c r="H54" s="150"/>
      <c r="I54" s="48">
        <f>+I53</f>
        <v>20256.984894166661</v>
      </c>
      <c r="T54" s="37"/>
    </row>
    <row r="55" spans="2:20">
      <c r="B55" s="45">
        <f>+B54+1</f>
        <v>38</v>
      </c>
      <c r="C55" s="46">
        <f>+C54</f>
        <v>19957.627118644068</v>
      </c>
      <c r="D55" s="46">
        <f>+C55*$D$7</f>
        <v>3592.3728813559323</v>
      </c>
      <c r="E55" s="47">
        <f>+C55+D55</f>
        <v>23550</v>
      </c>
      <c r="G55" s="150">
        <f>+G54+1</f>
        <v>38</v>
      </c>
      <c r="H55" s="150"/>
      <c r="I55" s="48">
        <f>+I54</f>
        <v>20256.984894166661</v>
      </c>
      <c r="T55" s="37"/>
    </row>
    <row r="56" spans="2:20">
      <c r="B56" s="45">
        <f>+B55+1</f>
        <v>39</v>
      </c>
      <c r="C56" s="46">
        <f>+C55</f>
        <v>19957.627118644068</v>
      </c>
      <c r="D56" s="46">
        <f>+C56*$D$7</f>
        <v>3592.3728813559323</v>
      </c>
      <c r="E56" s="47">
        <f>+C56+D56</f>
        <v>23550</v>
      </c>
      <c r="G56" s="150">
        <f>+G55+1</f>
        <v>39</v>
      </c>
      <c r="H56" s="150"/>
      <c r="I56" s="48">
        <f>+I55</f>
        <v>20256.984894166661</v>
      </c>
      <c r="T56" s="37"/>
    </row>
    <row r="57" spans="2:20">
      <c r="B57" s="45">
        <f>+B56+1</f>
        <v>40</v>
      </c>
      <c r="C57" s="46">
        <f>+C56</f>
        <v>19957.627118644068</v>
      </c>
      <c r="D57" s="46">
        <f>+C57*$D$7</f>
        <v>3592.3728813559323</v>
      </c>
      <c r="E57" s="47">
        <f>+C57+D57</f>
        <v>23550</v>
      </c>
      <c r="G57" s="150">
        <f>+G56+1</f>
        <v>40</v>
      </c>
      <c r="H57" s="150"/>
      <c r="I57" s="48">
        <f>+I56</f>
        <v>20256.984894166661</v>
      </c>
      <c r="T57" s="37"/>
    </row>
    <row r="58" spans="2:20">
      <c r="B58" s="45">
        <f>+B57+1</f>
        <v>41</v>
      </c>
      <c r="C58" s="46">
        <f>+C57</f>
        <v>19957.627118644068</v>
      </c>
      <c r="D58" s="46">
        <f>+C58*$D$7</f>
        <v>3592.3728813559323</v>
      </c>
      <c r="E58" s="47">
        <f>+C58+D58</f>
        <v>23550</v>
      </c>
      <c r="G58" s="150">
        <f>+G57+1</f>
        <v>41</v>
      </c>
      <c r="H58" s="150"/>
      <c r="I58" s="48">
        <f>+I57</f>
        <v>20256.984894166661</v>
      </c>
      <c r="T58" s="37"/>
    </row>
    <row r="59" spans="2:20">
      <c r="B59" s="45">
        <f>+B58+1</f>
        <v>42</v>
      </c>
      <c r="C59" s="46">
        <f>+C58</f>
        <v>19957.627118644068</v>
      </c>
      <c r="D59" s="46">
        <f>+C59*$D$7</f>
        <v>3592.3728813559323</v>
      </c>
      <c r="E59" s="47">
        <f>+C59+D59</f>
        <v>23550</v>
      </c>
      <c r="G59" s="150">
        <f>+G58+1</f>
        <v>42</v>
      </c>
      <c r="H59" s="150"/>
      <c r="I59" s="48">
        <f>+I58</f>
        <v>20256.984894166661</v>
      </c>
      <c r="T59" s="37"/>
    </row>
    <row r="60" spans="2:20">
      <c r="B60" s="45">
        <f>+B59+1</f>
        <v>43</v>
      </c>
      <c r="C60" s="46">
        <f>+C59</f>
        <v>19957.627118644068</v>
      </c>
      <c r="D60" s="46">
        <f>+C60*$D$7</f>
        <v>3592.3728813559323</v>
      </c>
      <c r="E60" s="47">
        <f>+C60+D60</f>
        <v>23550</v>
      </c>
      <c r="G60" s="150">
        <f>+G59+1</f>
        <v>43</v>
      </c>
      <c r="H60" s="150"/>
      <c r="I60" s="48">
        <f>+I59</f>
        <v>20256.984894166661</v>
      </c>
      <c r="T60" s="37"/>
    </row>
    <row r="61" spans="2:20">
      <c r="B61" s="45">
        <f>+B60+1</f>
        <v>44</v>
      </c>
      <c r="C61" s="46">
        <f>+C60</f>
        <v>19957.627118644068</v>
      </c>
      <c r="D61" s="46">
        <f>+C61*$D$7</f>
        <v>3592.3728813559323</v>
      </c>
      <c r="E61" s="47">
        <f>+C61+D61</f>
        <v>23550</v>
      </c>
      <c r="G61" s="150">
        <f>+G60+1</f>
        <v>44</v>
      </c>
      <c r="H61" s="150"/>
      <c r="I61" s="48">
        <f>+I60</f>
        <v>20256.984894166661</v>
      </c>
      <c r="T61" s="37"/>
    </row>
    <row r="62" spans="2:20">
      <c r="B62" s="45">
        <f>+B61+1</f>
        <v>45</v>
      </c>
      <c r="C62" s="46">
        <f>+C61</f>
        <v>19957.627118644068</v>
      </c>
      <c r="D62" s="46">
        <f>+C62*$D$7</f>
        <v>3592.3728813559323</v>
      </c>
      <c r="E62" s="47">
        <f>+C62+D62</f>
        <v>23550</v>
      </c>
      <c r="G62" s="150">
        <f>+G61+1</f>
        <v>45</v>
      </c>
      <c r="H62" s="150"/>
      <c r="I62" s="48">
        <f>+I61</f>
        <v>20256.984894166661</v>
      </c>
      <c r="T62" s="37"/>
    </row>
    <row r="63" spans="2:20">
      <c r="B63" s="45">
        <f>+B62+1</f>
        <v>46</v>
      </c>
      <c r="C63" s="46">
        <f>+C62</f>
        <v>19957.627118644068</v>
      </c>
      <c r="D63" s="46">
        <f>+C63*$D$7</f>
        <v>3592.3728813559323</v>
      </c>
      <c r="E63" s="47">
        <f>+C63+D63</f>
        <v>23550</v>
      </c>
      <c r="G63" s="150">
        <f>+G62+1</f>
        <v>46</v>
      </c>
      <c r="H63" s="150"/>
      <c r="I63" s="48">
        <f>+I62</f>
        <v>20256.984894166661</v>
      </c>
      <c r="T63" s="37"/>
    </row>
    <row r="64" spans="2:20">
      <c r="B64" s="45">
        <f>+B63+1</f>
        <v>47</v>
      </c>
      <c r="C64" s="46">
        <f>+C63</f>
        <v>19957.627118644068</v>
      </c>
      <c r="D64" s="46">
        <f>+C64*$D$7</f>
        <v>3592.3728813559323</v>
      </c>
      <c r="E64" s="47">
        <f>+C64+D64</f>
        <v>23550</v>
      </c>
      <c r="G64" s="150">
        <f>+G63+1</f>
        <v>47</v>
      </c>
      <c r="H64" s="150"/>
      <c r="I64" s="48">
        <f>+I63</f>
        <v>20256.984894166661</v>
      </c>
      <c r="T64" s="37"/>
    </row>
    <row r="65" spans="2:20">
      <c r="B65" s="45">
        <f>+B64+1</f>
        <v>48</v>
      </c>
      <c r="C65" s="46">
        <f>+C64</f>
        <v>19957.627118644068</v>
      </c>
      <c r="D65" s="46">
        <f>+C65*$D$7</f>
        <v>3592.3728813559323</v>
      </c>
      <c r="E65" s="47">
        <f>+C65+D65</f>
        <v>23550</v>
      </c>
      <c r="G65" s="150">
        <f>+G64+1</f>
        <v>48</v>
      </c>
      <c r="H65" s="150"/>
      <c r="I65" s="48">
        <f>+I64</f>
        <v>20256.984894166661</v>
      </c>
      <c r="T65" s="37"/>
    </row>
    <row r="66" spans="2:20">
      <c r="B66" s="45">
        <f>+B65+1</f>
        <v>49</v>
      </c>
      <c r="C66" s="46">
        <f>+C65</f>
        <v>19957.627118644068</v>
      </c>
      <c r="D66" s="46">
        <f>+C66*$D$7</f>
        <v>3592.3728813559323</v>
      </c>
      <c r="E66" s="47">
        <f>+C66+D66</f>
        <v>23550</v>
      </c>
      <c r="G66" s="150">
        <f>+G65+1</f>
        <v>49</v>
      </c>
      <c r="H66" s="150"/>
      <c r="I66" s="48">
        <f>+I65</f>
        <v>20256.984894166661</v>
      </c>
      <c r="T66" s="37"/>
    </row>
    <row r="67" spans="2:20">
      <c r="B67" s="45">
        <f>+B66+1</f>
        <v>50</v>
      </c>
      <c r="C67" s="46">
        <f>+C66</f>
        <v>19957.627118644068</v>
      </c>
      <c r="D67" s="46">
        <f>+C67*$D$7</f>
        <v>3592.3728813559323</v>
      </c>
      <c r="E67" s="47">
        <f>+C67+D67</f>
        <v>23550</v>
      </c>
      <c r="G67" s="150">
        <f>+G66+1</f>
        <v>50</v>
      </c>
      <c r="H67" s="150"/>
      <c r="I67" s="48">
        <f>+I66</f>
        <v>20256.984894166661</v>
      </c>
      <c r="T67" s="37"/>
    </row>
    <row r="68" spans="2:20">
      <c r="B68" s="45">
        <f>+B67+1</f>
        <v>51</v>
      </c>
      <c r="C68" s="46">
        <f>+C67</f>
        <v>19957.627118644068</v>
      </c>
      <c r="D68" s="46">
        <f>+C68*$D$7</f>
        <v>3592.3728813559323</v>
      </c>
      <c r="E68" s="47">
        <f>+C68+D68</f>
        <v>23550</v>
      </c>
      <c r="G68" s="150">
        <f>+G67+1</f>
        <v>51</v>
      </c>
      <c r="H68" s="150"/>
      <c r="I68" s="48">
        <f>+I67</f>
        <v>20256.984894166661</v>
      </c>
      <c r="T68" s="37"/>
    </row>
    <row r="69" spans="2:20">
      <c r="B69" s="45">
        <f>+B68+1</f>
        <v>52</v>
      </c>
      <c r="C69" s="46">
        <f>+C68</f>
        <v>19957.627118644068</v>
      </c>
      <c r="D69" s="46">
        <f>+C69*$D$7</f>
        <v>3592.3728813559323</v>
      </c>
      <c r="E69" s="47">
        <f>+C69+D69</f>
        <v>23550</v>
      </c>
      <c r="G69" s="150">
        <f>+G68+1</f>
        <v>52</v>
      </c>
      <c r="H69" s="150"/>
      <c r="I69" s="48">
        <f>+I68</f>
        <v>20256.984894166661</v>
      </c>
      <c r="T69" s="37"/>
    </row>
    <row r="70" spans="2:20">
      <c r="B70" s="45">
        <f>+B69+1</f>
        <v>53</v>
      </c>
      <c r="C70" s="46">
        <f>+C69</f>
        <v>19957.627118644068</v>
      </c>
      <c r="D70" s="46">
        <f>+C70*$D$7</f>
        <v>3592.3728813559323</v>
      </c>
      <c r="E70" s="47">
        <f>+C70+D70</f>
        <v>23550</v>
      </c>
      <c r="G70" s="150">
        <f>+G69+1</f>
        <v>53</v>
      </c>
      <c r="H70" s="150"/>
      <c r="I70" s="48">
        <f>+I69</f>
        <v>20256.984894166661</v>
      </c>
      <c r="T70" s="37"/>
    </row>
    <row r="71" spans="2:20">
      <c r="B71" s="45">
        <f>+B70+1</f>
        <v>54</v>
      </c>
      <c r="C71" s="46">
        <f>+C70</f>
        <v>19957.627118644068</v>
      </c>
      <c r="D71" s="46">
        <f>+C71*$D$7</f>
        <v>3592.3728813559323</v>
      </c>
      <c r="E71" s="47">
        <f>+C71+D71</f>
        <v>23550</v>
      </c>
      <c r="G71" s="150">
        <f>+G70+1</f>
        <v>54</v>
      </c>
      <c r="H71" s="150"/>
      <c r="I71" s="48">
        <f>+I70</f>
        <v>20256.984894166661</v>
      </c>
    </row>
    <row r="72" spans="2:20">
      <c r="B72" s="45">
        <f>+B71+1</f>
        <v>55</v>
      </c>
      <c r="C72" s="46">
        <f>+C71</f>
        <v>19957.627118644068</v>
      </c>
      <c r="D72" s="46">
        <f>+C72*$D$7</f>
        <v>3592.3728813559323</v>
      </c>
      <c r="E72" s="47">
        <f>+C72+D72</f>
        <v>23550</v>
      </c>
      <c r="G72" s="150">
        <f>+G71+1</f>
        <v>55</v>
      </c>
      <c r="H72" s="150"/>
      <c r="I72" s="48">
        <f>+I71</f>
        <v>20256.984894166661</v>
      </c>
    </row>
    <row r="73" spans="2:20">
      <c r="B73" s="45">
        <f>+B72+1</f>
        <v>56</v>
      </c>
      <c r="C73" s="46">
        <f>+C72</f>
        <v>19957.627118644068</v>
      </c>
      <c r="D73" s="46">
        <f>+C73*$D$7</f>
        <v>3592.3728813559323</v>
      </c>
      <c r="E73" s="47">
        <f>+C73+D73</f>
        <v>23550</v>
      </c>
      <c r="G73" s="150">
        <f>+G72+1</f>
        <v>56</v>
      </c>
      <c r="H73" s="150"/>
      <c r="I73" s="48">
        <f>+I72</f>
        <v>20256.984894166661</v>
      </c>
    </row>
    <row r="74" spans="2:20">
      <c r="B74" s="45">
        <f>+B73+1</f>
        <v>57</v>
      </c>
      <c r="C74" s="46">
        <f>+C73</f>
        <v>19957.627118644068</v>
      </c>
      <c r="D74" s="46">
        <f>+C74*$D$7</f>
        <v>3592.3728813559323</v>
      </c>
      <c r="E74" s="47">
        <f>+C74+D74</f>
        <v>23550</v>
      </c>
      <c r="G74" s="150">
        <f>+G73+1</f>
        <v>57</v>
      </c>
      <c r="H74" s="150"/>
      <c r="I74" s="48">
        <f>+I73</f>
        <v>20256.984894166661</v>
      </c>
    </row>
    <row r="75" spans="2:20">
      <c r="B75" s="45">
        <f>+B74+1</f>
        <v>58</v>
      </c>
      <c r="C75" s="46">
        <f>+C74</f>
        <v>19957.627118644068</v>
      </c>
      <c r="D75" s="46">
        <f>+C75*$D$7</f>
        <v>3592.3728813559323</v>
      </c>
      <c r="E75" s="47">
        <f>+C75+D75</f>
        <v>23550</v>
      </c>
      <c r="G75" s="150">
        <f>+G74+1</f>
        <v>58</v>
      </c>
      <c r="H75" s="150"/>
      <c r="I75" s="48">
        <f>+I74</f>
        <v>20256.984894166661</v>
      </c>
    </row>
    <row r="76" spans="2:20">
      <c r="B76" s="45">
        <f>+B75+1</f>
        <v>59</v>
      </c>
      <c r="C76" s="46">
        <f>+C75</f>
        <v>19957.627118644068</v>
      </c>
      <c r="D76" s="46">
        <f>+C76*$D$7</f>
        <v>3592.3728813559323</v>
      </c>
      <c r="E76" s="47">
        <f>+C76+D76</f>
        <v>23550</v>
      </c>
      <c r="G76" s="150">
        <f>+G75+1</f>
        <v>59</v>
      </c>
      <c r="H76" s="150"/>
      <c r="I76" s="48">
        <f>+I75</f>
        <v>20256.984894166661</v>
      </c>
    </row>
    <row r="77" spans="2:20">
      <c r="B77" s="45">
        <f>+B76+1</f>
        <v>60</v>
      </c>
      <c r="C77" s="46">
        <f>+C76</f>
        <v>19957.627118644068</v>
      </c>
      <c r="D77" s="46">
        <f>+C77*$D$7</f>
        <v>3592.3728813559323</v>
      </c>
      <c r="E77" s="47">
        <f>+C77+D77</f>
        <v>23550</v>
      </c>
      <c r="G77" s="151">
        <f>+G76+1</f>
        <v>60</v>
      </c>
      <c r="H77" s="151"/>
      <c r="I77" s="49">
        <f>+I76</f>
        <v>20256.984894166661</v>
      </c>
    </row>
    <row r="78" spans="2:20">
      <c r="B78" s="50"/>
      <c r="C78" s="42">
        <f>SUM(C18:C77)</f>
        <v>1197457.6271186441</v>
      </c>
      <c r="D78" s="42">
        <f>SUM(D18:D77)</f>
        <v>215542.37288135581</v>
      </c>
      <c r="E78" s="43">
        <f>SUM(E18:E77)</f>
        <v>1413000</v>
      </c>
      <c r="G78" s="152" t="s">
        <v>56</v>
      </c>
      <c r="H78" s="152"/>
      <c r="I78" s="51">
        <f>+SUM(I18:I77)</f>
        <v>1215419.0936500009</v>
      </c>
    </row>
    <row r="79" spans="2:20">
      <c r="B79" s="52" t="s">
        <v>24</v>
      </c>
      <c r="C79" s="53">
        <f>+D9*D8</f>
        <v>8474.5762711864409</v>
      </c>
      <c r="D79" s="53">
        <f>C79*$D$7</f>
        <v>1525.4237288135594</v>
      </c>
      <c r="E79" s="54">
        <f>+C79+D79</f>
        <v>10000</v>
      </c>
    </row>
    <row r="80" spans="2:20">
      <c r="B80" s="55" t="s">
        <v>56</v>
      </c>
      <c r="C80" s="56"/>
      <c r="D80" s="57"/>
      <c r="E80" s="51">
        <f>+E78+E79</f>
        <v>1423000</v>
      </c>
    </row>
    <row r="94" spans="8:10" ht="15" customHeight="1">
      <c r="H94" s="37"/>
      <c r="J94" s="37"/>
    </row>
  </sheetData>
  <mergeCells count="84">
    <mergeCell ref="G77:H77"/>
    <mergeCell ref="G78:H78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I16:I17"/>
    <mergeCell ref="G18:H18"/>
    <mergeCell ref="G19:H19"/>
    <mergeCell ref="G20:H20"/>
    <mergeCell ref="G21:H21"/>
    <mergeCell ref="B16:B17"/>
    <mergeCell ref="C16:C17"/>
    <mergeCell ref="D16:D17"/>
    <mergeCell ref="E16:E17"/>
    <mergeCell ref="G16:H17"/>
    <mergeCell ref="B9:C9"/>
    <mergeCell ref="B11:C11"/>
    <mergeCell ref="B12:C12"/>
    <mergeCell ref="B13:C13"/>
    <mergeCell ref="G13:H13"/>
    <mergeCell ref="B6:C6"/>
    <mergeCell ref="G6:H6"/>
    <mergeCell ref="B7:C7"/>
    <mergeCell ref="G7:H7"/>
    <mergeCell ref="B8:C8"/>
    <mergeCell ref="G8:H8"/>
    <mergeCell ref="B2:E2"/>
    <mergeCell ref="G2:I2"/>
    <mergeCell ref="B4:C4"/>
    <mergeCell ref="G4:H4"/>
    <mergeCell ref="B5:C5"/>
    <mergeCell ref="G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9"/>
  <sheetViews>
    <sheetView showGridLines="0" zoomScaleNormal="100" workbookViewId="0">
      <selection activeCell="D6" sqref="D6"/>
    </sheetView>
  </sheetViews>
  <sheetFormatPr defaultColWidth="8.7109375" defaultRowHeight="13.5" customHeight="1"/>
  <cols>
    <col min="2" max="2" width="5.140625" customWidth="1"/>
    <col min="3" max="3" width="29.42578125" customWidth="1"/>
    <col min="4" max="4" width="14.7109375" customWidth="1"/>
    <col min="5" max="5" width="11.85546875" customWidth="1"/>
    <col min="6" max="6" width="5.140625" customWidth="1"/>
    <col min="7" max="7" width="30.7109375" customWidth="1"/>
    <col min="8" max="8" width="12.28515625" customWidth="1"/>
    <col min="9" max="9" width="12.85546875" customWidth="1"/>
    <col min="10" max="10" width="23.140625" customWidth="1"/>
    <col min="11" max="11" width="15" customWidth="1"/>
    <col min="14" max="14" width="11.7109375" hidden="1" customWidth="1"/>
    <col min="15" max="15" width="6.5703125" hidden="1" customWidth="1"/>
    <col min="16" max="16" width="5.85546875" hidden="1" customWidth="1"/>
    <col min="17" max="17" width="10.5703125" hidden="1" customWidth="1"/>
    <col min="18" max="19" width="10.7109375" hidden="1" customWidth="1"/>
    <col min="20" max="20" width="11.5703125" hidden="1" customWidth="1"/>
  </cols>
  <sheetData>
    <row r="1" spans="1:28" ht="13.5" customHeight="1">
      <c r="G1">
        <f>E1*12</f>
        <v>0</v>
      </c>
      <c r="J1" s="59"/>
    </row>
    <row r="2" spans="1:28" ht="13.5" customHeight="1">
      <c r="A2" s="60"/>
      <c r="B2" s="60"/>
      <c r="C2" s="60" t="s">
        <v>57</v>
      </c>
      <c r="D2" s="60"/>
      <c r="E2" s="60"/>
      <c r="F2" s="60"/>
      <c r="G2" s="60" t="s">
        <v>58</v>
      </c>
      <c r="H2" s="60"/>
      <c r="I2" s="60"/>
      <c r="J2" s="60"/>
      <c r="K2" s="60"/>
      <c r="L2" s="60"/>
      <c r="M2" s="60"/>
    </row>
    <row r="3" spans="1:28" ht="13.5" customHeight="1">
      <c r="B3" s="61" t="s">
        <v>59</v>
      </c>
      <c r="C3" s="61" t="s">
        <v>60</v>
      </c>
      <c r="D3" s="61" t="s">
        <v>61</v>
      </c>
      <c r="F3" s="61" t="s">
        <v>59</v>
      </c>
      <c r="G3" s="61" t="s">
        <v>60</v>
      </c>
      <c r="H3" s="61" t="s">
        <v>61</v>
      </c>
    </row>
    <row r="4" spans="1:28" ht="13.5" customHeight="1">
      <c r="B4" s="61">
        <v>1</v>
      </c>
      <c r="C4" s="62" t="s">
        <v>62</v>
      </c>
      <c r="D4" s="63">
        <v>0</v>
      </c>
      <c r="F4" s="61">
        <v>1</v>
      </c>
      <c r="G4" s="64" t="s">
        <v>62</v>
      </c>
      <c r="H4" s="65">
        <f>D4</f>
        <v>0</v>
      </c>
      <c r="I4" s="66"/>
      <c r="Q4" s="67" t="s">
        <v>63</v>
      </c>
      <c r="R4" s="67" t="s">
        <v>64</v>
      </c>
    </row>
    <row r="5" spans="1:28" ht="13.5" customHeight="1">
      <c r="B5" s="61">
        <v>2</v>
      </c>
      <c r="C5" s="62" t="s">
        <v>65</v>
      </c>
      <c r="D5" s="63">
        <f>D4*30/100</f>
        <v>0</v>
      </c>
      <c r="F5" s="61">
        <v>2</v>
      </c>
      <c r="G5" s="64" t="s">
        <v>66</v>
      </c>
      <c r="H5" s="65">
        <f>D5</f>
        <v>0</v>
      </c>
      <c r="N5" t="s">
        <v>67</v>
      </c>
      <c r="O5" s="22">
        <f>K9</f>
        <v>23550</v>
      </c>
      <c r="P5">
        <v>3</v>
      </c>
      <c r="Q5" s="68">
        <f>(($O$5/(1.29))*100000/Q$12)*(1.29)</f>
        <v>663380.28169014084</v>
      </c>
      <c r="R5" s="68">
        <f>(($O$5/(1.45))*100000/Q$13)*(1.45)</f>
        <v>654166.66666666663</v>
      </c>
      <c r="S5" s="68"/>
      <c r="Y5" s="153" t="s">
        <v>68</v>
      </c>
      <c r="Z5" s="153"/>
      <c r="AA5" s="153"/>
      <c r="AB5" s="153"/>
    </row>
    <row r="6" spans="1:28" ht="13.5" customHeight="1">
      <c r="B6" s="61">
        <v>3</v>
      </c>
      <c r="C6" s="62" t="s">
        <v>69</v>
      </c>
      <c r="D6" s="63">
        <f>D4*15/100</f>
        <v>0</v>
      </c>
      <c r="F6" s="61">
        <v>3</v>
      </c>
      <c r="G6" s="64" t="s">
        <v>70</v>
      </c>
      <c r="H6" s="65">
        <f>D6</f>
        <v>0</v>
      </c>
      <c r="J6" t="s">
        <v>71</v>
      </c>
      <c r="K6" s="2">
        <v>5</v>
      </c>
      <c r="P6">
        <v>4</v>
      </c>
      <c r="Q6" s="68">
        <f>(($O$5/(1.29))*100000/R$12)*(1.29)</f>
        <v>861060.32906764175</v>
      </c>
      <c r="R6" s="68">
        <f>(($O$5/(1.45))*100000/R$13)*(1.45)</f>
        <v>845601.43626570911</v>
      </c>
      <c r="S6" s="68"/>
      <c r="Y6" s="153"/>
      <c r="Z6" s="153"/>
      <c r="AA6" s="153"/>
      <c r="AB6" s="153"/>
    </row>
    <row r="7" spans="1:28" ht="13.5" customHeight="1">
      <c r="B7" s="61">
        <v>4</v>
      </c>
      <c r="C7" s="69" t="s">
        <v>72</v>
      </c>
      <c r="D7" s="70">
        <f>D4*33/100</f>
        <v>0</v>
      </c>
      <c r="E7" s="71"/>
      <c r="F7" s="61">
        <v>4</v>
      </c>
      <c r="G7" s="64" t="s">
        <v>73</v>
      </c>
      <c r="H7" s="72">
        <f>K9*12</f>
        <v>282600</v>
      </c>
      <c r="J7" t="s">
        <v>13</v>
      </c>
      <c r="K7" s="67">
        <f>Summary!D21</f>
        <v>0.18</v>
      </c>
      <c r="P7">
        <v>5</v>
      </c>
      <c r="Q7" s="68">
        <f>(($O$5/(1.29))*100000/S$12)*(1.29)</f>
        <v>1046666.6666666667</v>
      </c>
      <c r="R7" s="68">
        <f>(($O$5/(1.45))*100000/S$13)*(1.45)</f>
        <v>1023913.0434782609</v>
      </c>
      <c r="Y7" s="153"/>
      <c r="Z7" s="153"/>
      <c r="AA7" s="153"/>
      <c r="AB7" s="153"/>
    </row>
    <row r="8" spans="1:28" ht="13.5" customHeight="1">
      <c r="B8" s="154">
        <v>5</v>
      </c>
      <c r="C8" s="155" t="s">
        <v>74</v>
      </c>
      <c r="D8" s="156">
        <f>D5*12%</f>
        <v>0</v>
      </c>
      <c r="E8" s="71"/>
      <c r="F8" s="61">
        <v>5</v>
      </c>
      <c r="G8" s="64" t="s">
        <v>75</v>
      </c>
      <c r="H8" s="72">
        <v>180000</v>
      </c>
      <c r="K8" s="67"/>
      <c r="Q8" s="68"/>
      <c r="R8" s="68"/>
      <c r="Y8" s="153"/>
      <c r="Z8" s="153"/>
      <c r="AA8" s="153"/>
      <c r="AB8" s="153"/>
    </row>
    <row r="9" spans="1:28" ht="13.5" customHeight="1">
      <c r="B9" s="154"/>
      <c r="C9" s="155"/>
      <c r="D9" s="156"/>
      <c r="F9" s="61">
        <f>F8+1</f>
        <v>6</v>
      </c>
      <c r="G9" s="64" t="s">
        <v>76</v>
      </c>
      <c r="H9" s="73">
        <f>D7-H7-H8</f>
        <v>-462600</v>
      </c>
      <c r="J9" t="s">
        <v>77</v>
      </c>
      <c r="K9" s="74">
        <f>CHOOSE(K6-2,Summary!G14,Summary!G15,Summary!G16)</f>
        <v>23550</v>
      </c>
      <c r="Y9" s="153"/>
      <c r="Z9" s="153"/>
      <c r="AA9" s="153"/>
      <c r="AB9" s="153"/>
    </row>
    <row r="10" spans="1:28" ht="13.5" customHeight="1">
      <c r="B10" s="61">
        <v>6</v>
      </c>
      <c r="C10" s="75" t="s">
        <v>78</v>
      </c>
      <c r="D10" s="76">
        <v>75000</v>
      </c>
      <c r="F10" s="61">
        <f>F9+1</f>
        <v>7</v>
      </c>
      <c r="G10" s="64" t="s">
        <v>79</v>
      </c>
      <c r="H10" s="77">
        <f>(1800*12)</f>
        <v>21600</v>
      </c>
      <c r="J10" t="s">
        <v>80</v>
      </c>
      <c r="K10" s="78">
        <f>Summary!D18</f>
        <v>1000000</v>
      </c>
      <c r="N10" s="22"/>
      <c r="Y10" s="153"/>
      <c r="Z10" s="153"/>
      <c r="AA10" s="153"/>
      <c r="AB10" s="153"/>
    </row>
    <row r="11" spans="1:28" ht="13.5" customHeight="1">
      <c r="B11" s="61">
        <v>7</v>
      </c>
      <c r="C11" s="62" t="s">
        <v>81</v>
      </c>
      <c r="D11" s="79">
        <f>D4-D10-D8</f>
        <v>-75000</v>
      </c>
      <c r="F11" s="61">
        <f>F10+1</f>
        <v>8</v>
      </c>
      <c r="G11" t="s">
        <v>74</v>
      </c>
      <c r="H11" s="80">
        <f>D8</f>
        <v>0</v>
      </c>
      <c r="J11" t="s">
        <v>82</v>
      </c>
      <c r="K11" s="68">
        <f>K10</f>
        <v>1000000</v>
      </c>
      <c r="Q11" t="s">
        <v>83</v>
      </c>
      <c r="R11" t="s">
        <v>84</v>
      </c>
      <c r="S11" t="s">
        <v>85</v>
      </c>
      <c r="Y11" s="153"/>
      <c r="Z11" s="153"/>
      <c r="AA11" s="153"/>
      <c r="AB11" s="153"/>
    </row>
    <row r="12" spans="1:28" ht="13.5" customHeight="1">
      <c r="B12" s="61">
        <v>8</v>
      </c>
      <c r="C12" s="62" t="s">
        <v>86</v>
      </c>
      <c r="D12" s="79">
        <f>'New Tax Workings Overview'!D21</f>
        <v>0</v>
      </c>
      <c r="F12" s="61">
        <f>F11+1</f>
        <v>9</v>
      </c>
      <c r="G12" s="64" t="s">
        <v>78</v>
      </c>
      <c r="H12" s="81">
        <v>75000</v>
      </c>
      <c r="K12" t="s">
        <v>87</v>
      </c>
      <c r="P12" t="s">
        <v>88</v>
      </c>
      <c r="Q12" s="82">
        <v>3550</v>
      </c>
      <c r="R12" s="82">
        <v>2735</v>
      </c>
      <c r="S12" s="82">
        <v>2250</v>
      </c>
      <c r="Y12" s="153"/>
      <c r="Z12" s="153"/>
      <c r="AA12" s="153"/>
      <c r="AB12" s="153"/>
    </row>
    <row r="13" spans="1:28" ht="13.5" customHeight="1">
      <c r="B13" s="61">
        <v>9</v>
      </c>
      <c r="C13" s="62" t="s">
        <v>89</v>
      </c>
      <c r="D13" s="79">
        <f>((D5+D6+D7)-(D8+D12))/12</f>
        <v>0</v>
      </c>
      <c r="F13" s="61">
        <f>F12+1</f>
        <v>10</v>
      </c>
      <c r="G13" s="64" t="s">
        <v>81</v>
      </c>
      <c r="H13" s="65">
        <f>H4-H7-H8-H11-H12+H10</f>
        <v>-516000</v>
      </c>
      <c r="I13" s="83"/>
      <c r="J13" s="71"/>
      <c r="P13" t="s">
        <v>90</v>
      </c>
      <c r="Q13" s="82">
        <f>Q12+50</f>
        <v>3600</v>
      </c>
      <c r="R13" s="82">
        <f>R12+50</f>
        <v>2785</v>
      </c>
      <c r="S13" s="82">
        <f>S12+50</f>
        <v>2300</v>
      </c>
      <c r="Y13" s="153"/>
      <c r="Z13" s="153"/>
      <c r="AA13" s="153"/>
      <c r="AB13" s="153"/>
    </row>
    <row r="14" spans="1:28" ht="13.5" customHeight="1">
      <c r="B14" s="61">
        <v>10</v>
      </c>
      <c r="C14" s="62" t="s">
        <v>91</v>
      </c>
      <c r="D14" s="79">
        <f>D12/12</f>
        <v>0</v>
      </c>
      <c r="F14" s="61">
        <f>F13+1</f>
        <v>11</v>
      </c>
      <c r="G14" s="64" t="s">
        <v>86</v>
      </c>
      <c r="H14" s="65">
        <f>'New Tax Workings Overview'!I21</f>
        <v>0</v>
      </c>
      <c r="Y14" s="153"/>
      <c r="Z14" s="153"/>
      <c r="AA14" s="153"/>
      <c r="AB14" s="153"/>
    </row>
    <row r="15" spans="1:28" ht="13.5" customHeight="1">
      <c r="B15" s="61">
        <v>11</v>
      </c>
      <c r="C15" s="62" t="s">
        <v>92</v>
      </c>
      <c r="D15" s="79">
        <f>PMT(Summary!D23/12,K6*12,-K11,0,1)</f>
        <v>20256.984894166661</v>
      </c>
      <c r="F15" s="61">
        <f>F14+1</f>
        <v>12</v>
      </c>
      <c r="G15" s="64" t="s">
        <v>91</v>
      </c>
      <c r="H15" s="65">
        <f>H14/12</f>
        <v>0</v>
      </c>
      <c r="I15" s="71"/>
      <c r="P15" t="s">
        <v>80</v>
      </c>
      <c r="Q15" s="84">
        <f>K10</f>
        <v>1000000</v>
      </c>
      <c r="R15">
        <f>IF(Q16&lt;21000,'[1]Allowance &amp; Eligible Car Value'!C2,0)</f>
        <v>0</v>
      </c>
      <c r="Y15" s="153"/>
      <c r="Z15" s="153"/>
      <c r="AA15" s="153"/>
      <c r="AB15" s="153"/>
    </row>
    <row r="16" spans="1:28" ht="13.5" customHeight="1">
      <c r="B16" s="61">
        <v>12</v>
      </c>
      <c r="C16" s="62" t="s">
        <v>93</v>
      </c>
      <c r="D16" s="79">
        <f>D13-D15</f>
        <v>-20256.984894166661</v>
      </c>
      <c r="F16" s="61">
        <f>F15+1</f>
        <v>13</v>
      </c>
      <c r="G16" s="64" t="s">
        <v>89</v>
      </c>
      <c r="H16" s="65">
        <f>((H5+H6+H9+H8)-(H11+H14))/12</f>
        <v>-23550</v>
      </c>
      <c r="J16" s="85" t="s">
        <v>94</v>
      </c>
      <c r="P16" t="s">
        <v>77</v>
      </c>
      <c r="Q16" s="86">
        <f>K9</f>
        <v>23550</v>
      </c>
      <c r="Y16" s="153"/>
      <c r="Z16" s="153"/>
      <c r="AA16" s="153"/>
      <c r="AB16" s="153"/>
    </row>
    <row r="17" spans="3:28" ht="13.5" customHeight="1">
      <c r="J17" s="87" t="s">
        <v>95</v>
      </c>
      <c r="K17" s="88">
        <f>D12-H14</f>
        <v>0</v>
      </c>
      <c r="P17" t="s">
        <v>96</v>
      </c>
      <c r="Q17" s="22">
        <f>Q15*0.99</f>
        <v>990000</v>
      </c>
      <c r="Y17" s="153"/>
      <c r="Z17" s="153"/>
      <c r="AA17" s="153"/>
      <c r="AB17" s="153"/>
    </row>
    <row r="18" spans="3:28" ht="13.5" customHeight="1">
      <c r="G18" s="89" t="s">
        <v>97</v>
      </c>
      <c r="H18" s="90">
        <f>H16-D16</f>
        <v>-3293.0151058333395</v>
      </c>
      <c r="Y18" s="153"/>
      <c r="Z18" s="153"/>
      <c r="AA18" s="153"/>
      <c r="AB18" s="153"/>
    </row>
    <row r="19" spans="3:28" ht="13.5" customHeight="1">
      <c r="E19" s="71"/>
      <c r="G19" s="89" t="s">
        <v>98</v>
      </c>
      <c r="H19" s="89">
        <f>H18*12</f>
        <v>-39516.181270000074</v>
      </c>
      <c r="J19" s="87" t="s">
        <v>99</v>
      </c>
      <c r="K19" s="88">
        <f>K17/12</f>
        <v>0</v>
      </c>
      <c r="Y19" s="153"/>
      <c r="Z19" s="153"/>
      <c r="AA19" s="153"/>
      <c r="AB19" s="153"/>
    </row>
    <row r="20" spans="3:28" ht="13.5" customHeight="1">
      <c r="D20" s="68"/>
      <c r="G20" s="89" t="s">
        <v>100</v>
      </c>
      <c r="H20" s="89">
        <f>H19*K6</f>
        <v>-197580.90635000035</v>
      </c>
      <c r="I20" s="66"/>
    </row>
    <row r="23" spans="3:28" ht="13.5" customHeight="1">
      <c r="C23" t="s">
        <v>101</v>
      </c>
    </row>
    <row r="24" spans="3:28" ht="13.5" customHeight="1">
      <c r="C24" t="s">
        <v>102</v>
      </c>
    </row>
    <row r="25" spans="3:28" ht="13.5" customHeight="1">
      <c r="J25" s="71"/>
      <c r="K25" s="71"/>
    </row>
    <row r="29" spans="3:28" ht="13.5" customHeight="1">
      <c r="J29" s="71"/>
    </row>
  </sheetData>
  <mergeCells count="4">
    <mergeCell ref="Y5:AB19"/>
    <mergeCell ref="B8:B9"/>
    <mergeCell ref="C8:C9"/>
    <mergeCell ref="D8:D9"/>
  </mergeCells>
  <dataValidations count="2">
    <dataValidation type="list" allowBlank="1" showInputMessage="1" showErrorMessage="1" sqref="K6" xr:uid="{00000000-0002-0000-0500-000000000000}">
      <formula1>$P$5:$P$7</formula1>
      <formula2>0</formula2>
    </dataValidation>
    <dataValidation allowBlank="1" showInputMessage="1" showErrorMessage="1" sqref="K7:K10" xr:uid="{00000000-0002-0000-05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5"/>
  <sheetViews>
    <sheetView topLeftCell="A3" zoomScaleNormal="100" workbookViewId="0">
      <selection activeCell="E16" sqref="E16"/>
    </sheetView>
  </sheetViews>
  <sheetFormatPr defaultColWidth="11.5703125" defaultRowHeight="13.5" customHeight="1"/>
  <cols>
    <col min="1" max="1" width="35.42578125" style="91" customWidth="1"/>
    <col min="2" max="2" width="20.28515625" style="91" customWidth="1"/>
    <col min="3" max="3" width="17.28515625" style="91" customWidth="1"/>
    <col min="4" max="4" width="16.5703125" style="91" customWidth="1"/>
    <col min="5" max="5" width="11.5703125" style="91"/>
    <col min="6" max="6" width="25.140625" style="91" customWidth="1"/>
    <col min="7" max="7" width="28.42578125" style="91" customWidth="1"/>
    <col min="8" max="8" width="26.85546875" style="91" customWidth="1"/>
    <col min="9" max="9" width="28.42578125" style="91" customWidth="1"/>
    <col min="10" max="10" width="32" style="91" customWidth="1"/>
    <col min="11" max="11" width="20.28515625" style="91" customWidth="1"/>
    <col min="12" max="12" width="17.28515625" style="91" customWidth="1"/>
    <col min="13" max="13" width="16.5703125" style="91" customWidth="1"/>
    <col min="14" max="15" width="11.5703125" style="91"/>
  </cols>
  <sheetData>
    <row r="1" spans="1:13" ht="17.25">
      <c r="A1" s="92" t="s">
        <v>103</v>
      </c>
    </row>
    <row r="2" spans="1:13" ht="17.25">
      <c r="A2" s="92"/>
    </row>
    <row r="3" spans="1:13" ht="17.25">
      <c r="A3" s="93" t="s">
        <v>104</v>
      </c>
      <c r="B3" s="94"/>
      <c r="C3" s="95">
        <f>'Comparision Lease Vs Loan Tax I'!D11</f>
        <v>-75000</v>
      </c>
      <c r="D3" s="96"/>
      <c r="F3" s="93" t="s">
        <v>105</v>
      </c>
      <c r="G3" s="94"/>
      <c r="H3" s="97">
        <f>'Comparision Lease Vs Loan Tax I'!H13</f>
        <v>-516000</v>
      </c>
      <c r="I3" s="96"/>
      <c r="J3" s="92"/>
      <c r="L3" s="98"/>
    </row>
    <row r="4" spans="1:13" ht="13.5" customHeight="1">
      <c r="A4" s="99"/>
      <c r="D4" s="100"/>
      <c r="F4" s="101"/>
      <c r="G4" s="94"/>
      <c r="H4" s="94"/>
      <c r="I4" s="96"/>
    </row>
    <row r="5" spans="1:13" ht="17.25">
      <c r="A5" s="102" t="s">
        <v>106</v>
      </c>
      <c r="D5" s="100"/>
      <c r="F5" s="102" t="s">
        <v>106</v>
      </c>
      <c r="I5" s="100"/>
      <c r="J5" s="92"/>
    </row>
    <row r="6" spans="1:13" ht="17.25">
      <c r="A6" s="103" t="s">
        <v>107</v>
      </c>
      <c r="B6" s="104">
        <v>400000</v>
      </c>
      <c r="C6" s="105">
        <v>0</v>
      </c>
      <c r="D6" s="106">
        <f>B6*C6</f>
        <v>0</v>
      </c>
      <c r="E6" s="107"/>
      <c r="F6" s="103" t="s">
        <v>107</v>
      </c>
      <c r="G6" s="104">
        <v>400000</v>
      </c>
      <c r="H6" s="105">
        <v>0</v>
      </c>
      <c r="I6" s="106">
        <f>G6*H6</f>
        <v>0</v>
      </c>
      <c r="K6" s="108"/>
      <c r="L6" s="109"/>
      <c r="M6" s="110"/>
    </row>
    <row r="7" spans="1:13" ht="17.25">
      <c r="A7" s="103" t="s">
        <v>108</v>
      </c>
      <c r="B7" s="104">
        <v>800000</v>
      </c>
      <c r="C7" s="105">
        <f>5%*1</f>
        <v>0.05</v>
      </c>
      <c r="D7" s="106">
        <f>IF($C$3&lt;1200000,0,IF($C$3&gt;B7,(B7-B6)*C7,($C$3-B6)*C7))</f>
        <v>0</v>
      </c>
      <c r="E7" s="107"/>
      <c r="F7" s="103" t="s">
        <v>108</v>
      </c>
      <c r="G7" s="104">
        <v>800000</v>
      </c>
      <c r="H7" s="105">
        <f>5%*1</f>
        <v>0.05</v>
      </c>
      <c r="I7" s="106">
        <f>IF($H$3&lt;1200000,0,IF($H$3&gt;G7,(G7-G6)*H7,($H$3-G6)*H7))</f>
        <v>0</v>
      </c>
      <c r="K7" s="108"/>
      <c r="L7" s="109"/>
      <c r="M7" s="110"/>
    </row>
    <row r="8" spans="1:13" ht="17.25">
      <c r="A8" s="103" t="s">
        <v>109</v>
      </c>
      <c r="B8" s="104">
        <v>1200000</v>
      </c>
      <c r="C8" s="105">
        <f>10%*1</f>
        <v>0.1</v>
      </c>
      <c r="D8" s="106">
        <f>IF(C3&lt;1200000,0,(IF($C$3&gt;B8,(B8-B7)*C8,(IF(($C$3-B7)*C8&gt;0,($C$3-B7)*C8,0)))))</f>
        <v>0</v>
      </c>
      <c r="E8" s="107"/>
      <c r="F8" s="103" t="s">
        <v>109</v>
      </c>
      <c r="G8" s="104">
        <v>1200000</v>
      </c>
      <c r="H8" s="105">
        <f>10%*1</f>
        <v>0.1</v>
      </c>
      <c r="I8" s="106">
        <f>IF(H3&lt;1200000,0,(IF($H$3&gt;G8,(G8-G7)*H8,(IF(($H$3-G7)*H8&gt;0,($H$3-G7)*H8,0)))))</f>
        <v>0</v>
      </c>
      <c r="K8" s="108"/>
      <c r="L8" s="109"/>
      <c r="M8" s="110"/>
    </row>
    <row r="9" spans="1:13" ht="17.25">
      <c r="A9" s="103" t="s">
        <v>110</v>
      </c>
      <c r="B9" s="104">
        <v>1600000</v>
      </c>
      <c r="C9" s="105">
        <f>15%*1</f>
        <v>0.15</v>
      </c>
      <c r="D9" s="106">
        <f>IF(C3&lt;1200000,0,(IF($C$3&gt;B9,(B9-B8)*C9,(IF(($C$3-B8)*C9&gt;0,($C$3-B8)*C9,0)))))</f>
        <v>0</v>
      </c>
      <c r="E9" s="107"/>
      <c r="F9" s="103" t="s">
        <v>110</v>
      </c>
      <c r="G9" s="104">
        <v>1600000</v>
      </c>
      <c r="H9" s="105">
        <f>15%*1</f>
        <v>0.15</v>
      </c>
      <c r="I9" s="106">
        <f>IF(H3&lt;1200000,0,(IF($H$3&gt;G9,(G9-G8)*H9,(IF(($H$3-G8)*H9&gt;0,($H$3-G8)*H9,0)))))</f>
        <v>0</v>
      </c>
      <c r="K9" s="108"/>
      <c r="L9" s="109"/>
      <c r="M9" s="110"/>
    </row>
    <row r="10" spans="1:13" ht="17.25">
      <c r="A10" s="103" t="s">
        <v>111</v>
      </c>
      <c r="B10" s="104">
        <v>2000000</v>
      </c>
      <c r="C10" s="105">
        <f>20%*1</f>
        <v>0.2</v>
      </c>
      <c r="D10" s="106">
        <f>IF(C3&lt;1200000,0,(IF($C$3&gt;B10,(B10-B9)*C10,(IF(($C$3-B9)*C10&gt;0,($C$3-B9)*C10,0)))))</f>
        <v>0</v>
      </c>
      <c r="E10" s="107"/>
      <c r="F10" s="103" t="s">
        <v>111</v>
      </c>
      <c r="G10" s="104">
        <v>2000000</v>
      </c>
      <c r="H10" s="105">
        <f>20%*1</f>
        <v>0.2</v>
      </c>
      <c r="I10" s="106">
        <f>IF(H3&lt;1200000,0,(IF($H$3&gt;G10,(G10-G9)*H10,(IF(($H$3-G9)*H10&gt;0,($H$3-G9)*H10,0)))))</f>
        <v>0</v>
      </c>
      <c r="K10" s="108"/>
      <c r="L10" s="109"/>
      <c r="M10" s="110"/>
    </row>
    <row r="11" spans="1:13" ht="17.25">
      <c r="A11" s="103" t="s">
        <v>112</v>
      </c>
      <c r="B11" s="104">
        <v>2400000</v>
      </c>
      <c r="C11" s="105">
        <f>25%*1</f>
        <v>0.25</v>
      </c>
      <c r="D11" s="106">
        <f>IF(C3&lt;1200000,0,(IF($C$3&gt;B11,(B11-B10)*C11,(IF(($C$3-B10)*C11&gt;0,($C$3-B10)*C11,0)))))</f>
        <v>0</v>
      </c>
      <c r="E11" s="107"/>
      <c r="F11" s="103" t="s">
        <v>112</v>
      </c>
      <c r="G11" s="104">
        <v>2400000</v>
      </c>
      <c r="H11" s="105">
        <f>25%*1</f>
        <v>0.25</v>
      </c>
      <c r="I11" s="106">
        <f>IF(H3&lt;1200000,0,(IF($H$3&gt;G11,(G11-G10)*H11,(IF(($H$3-G10)*H11&gt;0,($H$3-G10)*H11,0)))))</f>
        <v>0</v>
      </c>
      <c r="K11" s="108"/>
      <c r="L11" s="109"/>
      <c r="M11" s="110"/>
    </row>
    <row r="12" spans="1:13" ht="17.25">
      <c r="A12" s="103" t="s">
        <v>113</v>
      </c>
      <c r="B12" s="104">
        <v>2400000</v>
      </c>
      <c r="C12" s="105">
        <f>30%*1</f>
        <v>0.3</v>
      </c>
      <c r="D12" s="106">
        <f>IF(C3&lt;1200000,0,(IF($C$3&gt;B13,(B13-B12)*C12,(IF(($C$3-B12)*C12&gt;0,($C$3-B12)*C12,0)))))</f>
        <v>0</v>
      </c>
      <c r="E12" s="107"/>
      <c r="F12" s="103" t="s">
        <v>113</v>
      </c>
      <c r="G12" s="104">
        <v>2400000</v>
      </c>
      <c r="H12" s="105">
        <f>30%*1</f>
        <v>0.3</v>
      </c>
      <c r="I12" s="106">
        <f>IF(H3&lt;1200000,0,(IF($H$3&gt;G13,(G13-G12)*H12,(IF(($H$3-G12)*H12&gt;0,($H$3-G12)*H12,0)))))</f>
        <v>0</v>
      </c>
      <c r="K12" s="108"/>
      <c r="L12" s="109"/>
      <c r="M12" s="110"/>
    </row>
    <row r="13" spans="1:13" ht="17.25">
      <c r="A13" s="103" t="s">
        <v>114</v>
      </c>
      <c r="B13" s="104">
        <v>5000000</v>
      </c>
      <c r="C13" s="105">
        <f>30%*1*1</f>
        <v>0.3</v>
      </c>
      <c r="D13" s="106">
        <f>IF(C3&lt;1200000,0,(IF($C$3&gt;B14,(B14-B13)*C13,(IF(($C$3-B13)*C13&gt;0,($C$3-B13)*C13,0)))))</f>
        <v>0</v>
      </c>
      <c r="F13" s="103" t="s">
        <v>114</v>
      </c>
      <c r="G13" s="104">
        <v>5000000</v>
      </c>
      <c r="H13" s="105">
        <f>30%*1*1</f>
        <v>0.3</v>
      </c>
      <c r="I13" s="106">
        <f>IF(H3&lt;1200000,0,(IF($H$3&gt;G14,(G14-G13)*H13,(IF(($H$3-G13)*H13&gt;0,($H$3-G13)*H13,0)))))</f>
        <v>0</v>
      </c>
      <c r="K13" s="108"/>
      <c r="L13" s="109"/>
    </row>
    <row r="14" spans="1:13" ht="17.25">
      <c r="A14" s="103" t="s">
        <v>115</v>
      </c>
      <c r="B14" s="104">
        <v>10000000</v>
      </c>
      <c r="C14" s="105">
        <f>30%*1*1</f>
        <v>0.3</v>
      </c>
      <c r="D14" s="106">
        <f>IF(C3&lt;1200000,0,(IF($C$3&gt;B15,(B15-B14)*C14,(IF(($C$3-B14)*C14&gt;0,($C$3-B14)*C14,0)))))</f>
        <v>0</v>
      </c>
      <c r="F14" s="103" t="s">
        <v>115</v>
      </c>
      <c r="G14" s="104">
        <v>10000000</v>
      </c>
      <c r="H14" s="105">
        <f>30%*1*1</f>
        <v>0.3</v>
      </c>
      <c r="I14" s="106">
        <f>IF(H3&lt;1200000,0,(IF($H$3&gt;G15,(G15-G14)*H14,(IF(($H$3-G14)*H14&gt;0,($H$3-G14)*H14,0)))))</f>
        <v>0</v>
      </c>
    </row>
    <row r="15" spans="1:13" ht="17.25">
      <c r="A15" s="103" t="s">
        <v>116</v>
      </c>
      <c r="B15" s="104">
        <v>20000000</v>
      </c>
      <c r="C15" s="105">
        <f>30%*1*1</f>
        <v>0.3</v>
      </c>
      <c r="D15" s="106">
        <f>IF(C3&lt;1200000,0,IF(C3&gt;B15,(C3-B15)*C15,0))</f>
        <v>0</v>
      </c>
      <c r="F15" s="103" t="s">
        <v>116</v>
      </c>
      <c r="G15" s="104">
        <v>20000000</v>
      </c>
      <c r="H15" s="105">
        <f>30%*1*1</f>
        <v>0.3</v>
      </c>
      <c r="I15" s="106">
        <f>IF(H3&lt;1200000,0,IF(H3&gt;G15,(H3-G15)*H15,0))</f>
        <v>0</v>
      </c>
    </row>
    <row r="16" spans="1:13" ht="17.25">
      <c r="A16" s="99"/>
      <c r="C16" s="109"/>
      <c r="D16" s="100"/>
      <c r="F16" s="99"/>
      <c r="H16" s="109"/>
      <c r="I16" s="100"/>
    </row>
    <row r="17" spans="1:15" ht="17.25">
      <c r="A17" s="99"/>
      <c r="B17" s="91" t="s">
        <v>117</v>
      </c>
      <c r="C17" s="109"/>
      <c r="D17" s="111">
        <f>IF(C3&gt;1200000,SUM(D6:D16),0)</f>
        <v>0</v>
      </c>
      <c r="F17" s="99"/>
      <c r="G17" s="91" t="s">
        <v>117</v>
      </c>
      <c r="H17" s="109"/>
      <c r="I17" s="111">
        <f>IF(H3&gt;1200000,SUM(I6:I16),0)</f>
        <v>0</v>
      </c>
      <c r="L17" s="109"/>
      <c r="M17" s="108"/>
    </row>
    <row r="18" spans="1:15" ht="17.25">
      <c r="A18" s="99"/>
      <c r="B18" s="91" t="s">
        <v>118</v>
      </c>
      <c r="D18" s="111">
        <f>D17*4%</f>
        <v>0</v>
      </c>
      <c r="F18" s="99"/>
      <c r="G18" s="91" t="s">
        <v>118</v>
      </c>
      <c r="I18" s="111">
        <f>I17*4%</f>
        <v>0</v>
      </c>
      <c r="M18" s="108"/>
    </row>
    <row r="19" spans="1:15" ht="17.25">
      <c r="A19" s="99"/>
      <c r="B19" s="91" t="s">
        <v>119</v>
      </c>
      <c r="D19" s="111">
        <f>IF(C3&lt;B13,0,IF(C3&lt;B14,D17*10%,IF(C3&lt;B15,D17*15%,D17*25%)))</f>
        <v>0</v>
      </c>
      <c r="F19" s="99"/>
      <c r="G19" s="91" t="s">
        <v>119</v>
      </c>
      <c r="I19" s="111">
        <f>IF(H3&lt;G13,0,IF(H3&lt;G14,I17*10%,IF(H3&lt;G15,I17*15%,I17*25%)))</f>
        <v>0</v>
      </c>
      <c r="M19" s="108"/>
    </row>
    <row r="20" spans="1:15" ht="17.25">
      <c r="A20" s="99"/>
      <c r="B20" s="91" t="s">
        <v>118</v>
      </c>
      <c r="D20" s="111">
        <f>D19*4%</f>
        <v>0</v>
      </c>
      <c r="F20" s="99"/>
      <c r="G20" s="91" t="s">
        <v>118</v>
      </c>
      <c r="I20" s="111">
        <f>I19*4%</f>
        <v>0</v>
      </c>
      <c r="M20" s="108"/>
    </row>
    <row r="21" spans="1:15" ht="17.25">
      <c r="A21" s="99"/>
      <c r="B21" s="112" t="s">
        <v>120</v>
      </c>
      <c r="C21" s="112"/>
      <c r="D21" s="113">
        <f>SUM(D17:D20)</f>
        <v>0</v>
      </c>
      <c r="F21" s="99"/>
      <c r="G21" s="112" t="s">
        <v>120</v>
      </c>
      <c r="H21" s="112"/>
      <c r="I21" s="113">
        <f>SUM(I17:I20)</f>
        <v>0</v>
      </c>
      <c r="K21" s="114"/>
      <c r="L21" s="114"/>
      <c r="M21" s="115"/>
    </row>
    <row r="22" spans="1:15" ht="17.25">
      <c r="A22" s="116"/>
      <c r="B22" s="117"/>
      <c r="C22" s="117"/>
      <c r="D22" s="118"/>
      <c r="F22" s="116"/>
      <c r="G22" s="117"/>
      <c r="H22" s="117"/>
      <c r="I22" s="118"/>
    </row>
    <row r="23" spans="1:15" ht="17.25"/>
    <row r="24" spans="1:15" ht="17.25"/>
    <row r="25" spans="1:15" ht="17.25"/>
    <row r="26" spans="1:15" ht="17.25">
      <c r="J26" s="92"/>
      <c r="L26" s="108"/>
      <c r="N26" s="108"/>
      <c r="O26" s="108"/>
    </row>
    <row r="27" spans="1:15" ht="17.25"/>
    <row r="28" spans="1:15" ht="17.25">
      <c r="J28" s="92"/>
    </row>
    <row r="29" spans="1:15" ht="17.25">
      <c r="E29" s="107"/>
      <c r="F29" s="107"/>
      <c r="G29" s="107"/>
      <c r="H29" s="107"/>
      <c r="I29" s="107"/>
      <c r="K29" s="108"/>
      <c r="L29" s="109"/>
      <c r="M29" s="110"/>
    </row>
    <row r="30" spans="1:15" ht="17.25">
      <c r="E30" s="107"/>
      <c r="F30" s="107"/>
      <c r="G30" s="107"/>
      <c r="H30" s="107"/>
      <c r="I30" s="107"/>
      <c r="K30" s="108"/>
      <c r="L30" s="109"/>
      <c r="M30" s="110"/>
    </row>
    <row r="31" spans="1:15" ht="17.25">
      <c r="E31" s="107"/>
      <c r="F31" s="107"/>
      <c r="G31" s="107"/>
      <c r="H31" s="107"/>
      <c r="I31" s="107"/>
      <c r="K31" s="108"/>
      <c r="L31" s="109"/>
      <c r="M31" s="110"/>
    </row>
    <row r="32" spans="1:15" ht="17.25">
      <c r="E32" s="107"/>
      <c r="F32" s="107"/>
      <c r="G32" s="107"/>
      <c r="H32" s="107"/>
      <c r="I32" s="107"/>
      <c r="K32" s="108"/>
      <c r="L32" s="109"/>
      <c r="M32" s="110"/>
    </row>
    <row r="33" spans="5:13" ht="17.25">
      <c r="E33" s="107"/>
      <c r="F33" s="107"/>
      <c r="G33" s="107"/>
      <c r="H33" s="107"/>
      <c r="I33" s="107"/>
      <c r="K33" s="108"/>
      <c r="L33" s="109"/>
      <c r="M33" s="110"/>
    </row>
    <row r="34" spans="5:13" ht="17.25">
      <c r="E34" s="107"/>
      <c r="F34" s="107"/>
      <c r="G34" s="107"/>
      <c r="H34" s="107"/>
      <c r="I34" s="107"/>
      <c r="K34" s="108"/>
      <c r="L34" s="109"/>
      <c r="M34" s="110"/>
    </row>
    <row r="35" spans="5:13" ht="17.25">
      <c r="E35" s="107"/>
      <c r="F35" s="107"/>
      <c r="G35" s="107"/>
      <c r="H35" s="107"/>
      <c r="I35" s="107"/>
      <c r="K35" s="108"/>
      <c r="L35" s="109"/>
      <c r="M35" s="110"/>
    </row>
    <row r="36" spans="5:13" ht="17.25">
      <c r="K36" s="108"/>
      <c r="L36" s="109"/>
    </row>
    <row r="37" spans="5:13" ht="17.25"/>
    <row r="38" spans="5:13" ht="17.25"/>
    <row r="39" spans="5:13" ht="17.25"/>
    <row r="40" spans="5:13" ht="17.25">
      <c r="L40" s="109"/>
      <c r="M40" s="108"/>
    </row>
    <row r="41" spans="5:13" ht="17.25">
      <c r="M41" s="108"/>
    </row>
    <row r="42" spans="5:13" ht="17.25">
      <c r="M42" s="108"/>
    </row>
    <row r="43" spans="5:13" ht="17.25">
      <c r="M43" s="108"/>
    </row>
    <row r="44" spans="5:13" ht="17.25">
      <c r="K44" s="114"/>
      <c r="L44" s="114"/>
      <c r="M44" s="115"/>
    </row>
    <row r="45" spans="5:13" ht="18.7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zoomScaleNormal="100" workbookViewId="0">
      <selection activeCell="C3" sqref="C3"/>
    </sheetView>
  </sheetViews>
  <sheetFormatPr defaultColWidth="11.5703125" defaultRowHeight="12.75" customHeight="1"/>
  <cols>
    <col min="1" max="1" width="23.140625" customWidth="1"/>
    <col min="2" max="2" width="18.42578125" customWidth="1"/>
    <col min="3" max="3" width="25.5703125" customWidth="1"/>
    <col min="5" max="5" width="17.85546875" customWidth="1"/>
    <col min="6" max="6" width="21.7109375" customWidth="1"/>
    <col min="7" max="8" width="7.5703125" customWidth="1"/>
    <col min="9" max="11" width="9.7109375" customWidth="1"/>
  </cols>
  <sheetData>
    <row r="1" spans="1:6" ht="23.25">
      <c r="A1" s="119" t="s">
        <v>121</v>
      </c>
      <c r="B1" s="119" t="s">
        <v>122</v>
      </c>
      <c r="C1" s="119" t="s">
        <v>123</v>
      </c>
    </row>
    <row r="2" spans="1:6" ht="13.5">
      <c r="A2" s="157">
        <v>20000</v>
      </c>
      <c r="B2" s="120" t="s">
        <v>83</v>
      </c>
      <c r="C2" s="120">
        <v>570000</v>
      </c>
      <c r="F2" s="60"/>
    </row>
    <row r="3" spans="1:6" ht="13.5">
      <c r="A3" s="157">
        <v>20000</v>
      </c>
      <c r="B3" s="120" t="s">
        <v>84</v>
      </c>
      <c r="C3" s="120">
        <v>735000</v>
      </c>
    </row>
    <row r="4" spans="1:6" ht="13.5">
      <c r="A4" s="157">
        <v>20000</v>
      </c>
      <c r="B4" s="120" t="s">
        <v>85</v>
      </c>
      <c r="C4" s="120">
        <v>890000</v>
      </c>
    </row>
    <row r="5" spans="1:6" ht="13.5">
      <c r="A5" s="157">
        <v>30000</v>
      </c>
      <c r="B5" s="120" t="s">
        <v>83</v>
      </c>
      <c r="C5" s="120">
        <v>850000</v>
      </c>
    </row>
    <row r="6" spans="1:6" ht="13.5">
      <c r="A6" s="157">
        <v>30000</v>
      </c>
      <c r="B6" s="120" t="s">
        <v>84</v>
      </c>
      <c r="C6" s="120">
        <v>1100000</v>
      </c>
    </row>
    <row r="7" spans="1:6" ht="13.5">
      <c r="A7" s="157">
        <v>30000</v>
      </c>
      <c r="B7" s="120" t="s">
        <v>85</v>
      </c>
      <c r="C7" s="120">
        <v>1330000</v>
      </c>
    </row>
    <row r="8" spans="1:6" ht="13.5">
      <c r="A8" s="157">
        <v>35000</v>
      </c>
      <c r="B8" s="120" t="s">
        <v>83</v>
      </c>
      <c r="C8" s="120">
        <v>986000</v>
      </c>
    </row>
    <row r="9" spans="1:6" ht="13.5">
      <c r="A9" s="157">
        <v>35000</v>
      </c>
      <c r="B9" s="120" t="s">
        <v>84</v>
      </c>
      <c r="C9" s="120">
        <v>1280000</v>
      </c>
    </row>
    <row r="10" spans="1:6" ht="13.5">
      <c r="A10" s="157">
        <v>35000</v>
      </c>
      <c r="B10" s="120" t="s">
        <v>85</v>
      </c>
      <c r="C10" s="120">
        <v>1560000</v>
      </c>
    </row>
    <row r="11" spans="1:6" ht="13.5">
      <c r="A11" s="157">
        <v>45000</v>
      </c>
      <c r="B11" s="120" t="s">
        <v>83</v>
      </c>
      <c r="C11" s="120">
        <v>1270000</v>
      </c>
    </row>
    <row r="12" spans="1:6" ht="13.5">
      <c r="A12" s="157">
        <v>35000</v>
      </c>
      <c r="B12" s="120" t="s">
        <v>84</v>
      </c>
      <c r="C12" s="120">
        <v>1650000</v>
      </c>
    </row>
    <row r="13" spans="1:6" ht="13.5">
      <c r="A13" s="157">
        <v>35000</v>
      </c>
      <c r="B13" s="120" t="s">
        <v>85</v>
      </c>
      <c r="C13" s="120">
        <v>2000000</v>
      </c>
    </row>
    <row r="14" spans="1:6" ht="13.5">
      <c r="A14" s="157">
        <v>55000</v>
      </c>
      <c r="B14" s="120" t="s">
        <v>83</v>
      </c>
      <c r="C14" s="120">
        <v>1550000</v>
      </c>
    </row>
    <row r="15" spans="1:6" ht="13.5">
      <c r="A15" s="157">
        <v>35000</v>
      </c>
      <c r="B15" s="120" t="s">
        <v>84</v>
      </c>
      <c r="C15" s="120">
        <v>2050000</v>
      </c>
    </row>
    <row r="16" spans="1:6" ht="13.5">
      <c r="A16" s="157">
        <v>35000</v>
      </c>
      <c r="B16" s="120" t="s">
        <v>85</v>
      </c>
      <c r="C16" s="120">
        <v>2450000</v>
      </c>
    </row>
    <row r="17" spans="1:3" ht="13.5">
      <c r="A17" s="157">
        <v>65000</v>
      </c>
      <c r="B17" s="120" t="s">
        <v>83</v>
      </c>
      <c r="C17" s="120">
        <v>1850000</v>
      </c>
    </row>
    <row r="18" spans="1:3" ht="13.5">
      <c r="A18" s="157">
        <v>35000</v>
      </c>
      <c r="B18" s="120" t="s">
        <v>84</v>
      </c>
      <c r="C18" s="120">
        <v>2380000</v>
      </c>
    </row>
    <row r="19" spans="1:3" ht="13.5">
      <c r="A19" s="157">
        <v>35000</v>
      </c>
      <c r="B19" s="120" t="s">
        <v>85</v>
      </c>
      <c r="C19" s="120">
        <v>2890000</v>
      </c>
    </row>
    <row r="20" spans="1:3" ht="13.5">
      <c r="A20" s="157">
        <v>75000</v>
      </c>
      <c r="B20" s="120" t="s">
        <v>83</v>
      </c>
      <c r="C20" s="120">
        <v>2115000</v>
      </c>
    </row>
    <row r="21" spans="1:3" ht="13.5">
      <c r="A21" s="157">
        <v>35000</v>
      </c>
      <c r="B21" s="120" t="s">
        <v>84</v>
      </c>
      <c r="C21" s="120">
        <v>2745000</v>
      </c>
    </row>
    <row r="22" spans="1:3" ht="13.5">
      <c r="A22" s="157">
        <v>35000</v>
      </c>
      <c r="B22" s="120" t="s">
        <v>85</v>
      </c>
      <c r="C22" s="120">
        <v>3335000</v>
      </c>
    </row>
    <row r="23" spans="1:3" ht="12.75" customHeight="1">
      <c r="A23" s="157">
        <v>85000</v>
      </c>
      <c r="B23" s="120" t="s">
        <v>83</v>
      </c>
      <c r="C23" s="120">
        <v>2395000</v>
      </c>
    </row>
    <row r="24" spans="1:3" ht="12.75" customHeight="1">
      <c r="A24" s="157">
        <v>35000</v>
      </c>
      <c r="B24" s="120" t="s">
        <v>84</v>
      </c>
      <c r="C24" s="120">
        <v>3110000</v>
      </c>
    </row>
    <row r="25" spans="1:3" ht="12.75" customHeight="1">
      <c r="A25" s="157">
        <v>35000</v>
      </c>
      <c r="B25" s="120" t="s">
        <v>85</v>
      </c>
      <c r="C25" s="120">
        <v>3780000</v>
      </c>
    </row>
    <row r="26" spans="1:3" ht="12.75" customHeight="1">
      <c r="A26" s="157">
        <v>95000</v>
      </c>
      <c r="B26" s="120" t="s">
        <v>83</v>
      </c>
      <c r="C26" s="120">
        <v>2680000</v>
      </c>
    </row>
    <row r="27" spans="1:3" ht="12.75" customHeight="1">
      <c r="A27" s="157">
        <v>35000</v>
      </c>
      <c r="B27" s="120" t="s">
        <v>84</v>
      </c>
      <c r="C27" s="120">
        <v>3475000</v>
      </c>
    </row>
    <row r="28" spans="1:3" ht="12.75" customHeight="1">
      <c r="A28" s="157">
        <v>35000</v>
      </c>
      <c r="B28" s="120" t="s">
        <v>85</v>
      </c>
      <c r="C28" s="120">
        <v>4225000</v>
      </c>
    </row>
  </sheetData>
  <mergeCells count="9">
    <mergeCell ref="A17:A19"/>
    <mergeCell ref="A20:A22"/>
    <mergeCell ref="A23:A25"/>
    <mergeCell ref="A26:A28"/>
    <mergeCell ref="A2:A4"/>
    <mergeCell ref="A5:A7"/>
    <mergeCell ref="A8:A10"/>
    <mergeCell ref="A11:A13"/>
    <mergeCell ref="A14:A16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21</cp:revision>
  <dcterms:created xsi:type="dcterms:W3CDTF">2023-12-12T07:07:17Z</dcterms:created>
  <dcterms:modified xsi:type="dcterms:W3CDTF">2026-01-31T05:36:42Z</dcterms:modified>
  <cp:category/>
  <cp:contentStatus/>
</cp:coreProperties>
</file>